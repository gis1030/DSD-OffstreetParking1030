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emp10\offstreet_1030_be\data\old\"/>
    </mc:Choice>
  </mc:AlternateContent>
  <xr:revisionPtr revIDLastSave="0" documentId="13_ncr:1_{146FF847-DEE3-49FB-87BA-F0AF353CBAF6}" xr6:coauthVersionLast="47" xr6:coauthVersionMax="47" xr10:uidLastSave="{00000000-0000-0000-0000-000000000000}"/>
  <bookViews>
    <workbookView xWindow="-28920" yWindow="-120" windowWidth="29040" windowHeight="15720" activeTab="2" xr2:uid="{2259ADC0-0174-43D4-A37D-F47E9D364400}"/>
  </bookViews>
  <sheets>
    <sheet name="Readme" sheetId="2" r:id="rId1"/>
    <sheet name="parking_data_1030_carto" sheetId="4" r:id="rId2"/>
    <sheet name="parking_data_1030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0" i="2" l="1"/>
  <c r="K11" i="2"/>
  <c r="K9" i="2"/>
  <c r="Q317" i="1"/>
  <c r="Q321" i="1"/>
  <c r="Q324" i="1"/>
  <c r="Q20" i="1"/>
  <c r="Q93" i="1"/>
  <c r="Q392" i="1"/>
  <c r="Q393" i="1"/>
  <c r="Q394" i="1"/>
  <c r="Q194" i="1"/>
  <c r="Q195" i="1"/>
  <c r="Q245" i="1"/>
  <c r="Q145" i="1"/>
  <c r="Q146" i="1"/>
  <c r="Q47" i="1"/>
  <c r="Q147" i="1"/>
  <c r="Q459" i="1"/>
  <c r="Q460" i="1"/>
  <c r="Q210" i="1"/>
  <c r="Q461" i="1"/>
  <c r="Q211" i="1"/>
  <c r="Q196" i="1"/>
  <c r="Q61" i="1"/>
  <c r="Q414" i="1"/>
  <c r="Q22" i="1"/>
  <c r="Q197" i="1"/>
  <c r="Q198" i="1"/>
  <c r="Q91" i="1"/>
  <c r="Q395" i="1"/>
  <c r="Q257" i="1"/>
  <c r="Q258" i="1"/>
  <c r="Q206" i="1"/>
  <c r="Q207" i="1"/>
  <c r="Q208" i="1"/>
  <c r="Q323" i="1"/>
  <c r="Q259" i="1"/>
  <c r="Q178" i="1"/>
  <c r="Q179" i="1"/>
  <c r="Q180" i="1"/>
  <c r="Q111" i="1"/>
  <c r="Q177" i="1"/>
  <c r="Q107" i="1"/>
  <c r="Q108" i="1"/>
  <c r="Q297" i="1"/>
  <c r="Q85" i="1"/>
  <c r="Q368" i="1"/>
  <c r="Q369" i="1"/>
  <c r="Q298" i="1"/>
  <c r="Q401" i="1"/>
  <c r="Q371" i="1"/>
  <c r="Q25" i="1"/>
  <c r="Q26" i="1"/>
  <c r="Q372" i="1"/>
  <c r="Q159" i="1"/>
  <c r="Q264" i="1"/>
  <c r="Q265" i="1"/>
  <c r="Q181" i="1"/>
  <c r="Q86" i="1"/>
  <c r="Q266" i="1"/>
  <c r="Q267" i="1"/>
  <c r="Q390" i="1"/>
  <c r="Q160" i="1"/>
  <c r="Q391" i="1"/>
  <c r="Q55" i="1"/>
  <c r="Q260" i="1"/>
  <c r="Q396" i="1"/>
  <c r="Q161" i="1"/>
  <c r="Q182" i="1"/>
  <c r="Q162" i="1"/>
  <c r="Q163" i="1"/>
  <c r="Q164" i="1"/>
  <c r="Q457" i="1"/>
  <c r="Q19" i="1"/>
  <c r="Q299" i="1"/>
  <c r="Q165" i="1"/>
  <c r="Q166" i="1"/>
  <c r="Q227" i="1"/>
  <c r="Q212" i="1"/>
  <c r="Q402" i="1"/>
  <c r="Q222" i="1"/>
  <c r="Q403" i="1"/>
  <c r="Q404" i="1"/>
  <c r="Q48" i="1"/>
  <c r="Q49" i="1"/>
  <c r="Q118" i="1"/>
  <c r="Q119" i="1"/>
  <c r="Q120" i="1"/>
  <c r="Q121" i="1"/>
  <c r="Q122" i="1"/>
  <c r="Q191" i="1"/>
  <c r="Q192" i="1"/>
  <c r="Q193" i="1"/>
  <c r="Q60" i="1"/>
  <c r="Q156" i="1"/>
  <c r="Q157" i="1"/>
  <c r="Q261" i="1"/>
  <c r="Q262" i="1"/>
  <c r="Q158" i="1"/>
  <c r="Q127" i="1"/>
  <c r="Q128" i="1"/>
  <c r="Q129" i="1"/>
  <c r="Q130" i="1"/>
  <c r="Q131" i="1"/>
  <c r="Q132" i="1"/>
  <c r="Q51" i="1"/>
  <c r="Q52" i="1"/>
  <c r="Q256" i="1"/>
  <c r="Q50" i="1"/>
  <c r="Q133" i="1"/>
  <c r="Q53" i="1"/>
  <c r="Q270" i="1"/>
  <c r="Q54" i="1"/>
  <c r="Q134" i="1"/>
  <c r="Q135" i="1"/>
  <c r="Q136" i="1"/>
  <c r="Q137" i="1"/>
  <c r="Q138" i="1"/>
  <c r="Q139" i="1"/>
  <c r="Q271" i="1"/>
  <c r="Q143" i="1"/>
  <c r="Q462" i="1"/>
  <c r="Q463" i="1"/>
  <c r="Q464" i="1"/>
  <c r="Q185" i="1"/>
  <c r="Q465" i="1"/>
  <c r="Q357" i="1"/>
  <c r="Q140" i="1"/>
  <c r="Q141" i="1"/>
  <c r="Q272" i="1"/>
  <c r="Q273" i="1"/>
  <c r="Q144" i="1"/>
  <c r="Q109" i="1"/>
  <c r="Q274" i="1"/>
  <c r="Q275" i="1"/>
  <c r="Q276" i="1"/>
  <c r="Q277" i="1"/>
  <c r="Q228" i="1"/>
  <c r="Q229" i="1"/>
  <c r="Q278" i="1"/>
  <c r="Q279" i="1"/>
  <c r="Q199" i="1"/>
  <c r="Q186" i="1"/>
  <c r="Q187" i="1"/>
  <c r="Q188" i="1"/>
  <c r="Q230" i="1"/>
  <c r="Q34" i="1"/>
  <c r="Q35" i="1"/>
  <c r="Q36" i="1"/>
  <c r="Q37" i="1"/>
  <c r="Q238" i="1"/>
  <c r="Q239" i="1"/>
  <c r="Q240" i="1"/>
  <c r="Q241" i="1"/>
  <c r="Q242" i="1"/>
  <c r="Q243" i="1"/>
  <c r="Q311" i="1"/>
  <c r="Q458" i="1"/>
  <c r="Q236" i="1"/>
  <c r="Q237" i="1"/>
  <c r="Q38" i="1"/>
  <c r="Q39" i="1"/>
  <c r="Q40" i="1"/>
  <c r="Q231" i="1"/>
  <c r="Q419" i="1"/>
  <c r="Q420" i="1"/>
  <c r="Q421" i="1"/>
  <c r="Q300" i="1"/>
  <c r="Q301" i="1"/>
  <c r="Q113" i="1"/>
  <c r="Q114" i="1"/>
  <c r="Q115" i="1"/>
  <c r="Q116" i="1"/>
  <c r="Q117" i="1"/>
  <c r="Q302" i="1"/>
  <c r="Q332" i="1"/>
  <c r="Q425" i="1"/>
  <c r="Q325" i="1"/>
  <c r="Q326" i="1"/>
  <c r="Q327" i="1"/>
  <c r="Q75" i="1"/>
  <c r="Q76" i="1"/>
  <c r="Q303" i="1"/>
  <c r="Q381" i="1"/>
  <c r="Q382" i="1"/>
  <c r="Q41" i="1"/>
  <c r="Q42" i="1"/>
  <c r="Q126" i="1"/>
  <c r="Q383" i="1"/>
  <c r="Q384" i="1"/>
  <c r="Q385" i="1"/>
  <c r="Q8" i="1"/>
  <c r="Q9" i="1"/>
  <c r="Q10" i="1"/>
  <c r="Q11" i="1"/>
  <c r="Q43" i="1"/>
  <c r="Q12" i="1"/>
  <c r="Q80" i="1"/>
  <c r="Q333" i="1"/>
  <c r="Q13" i="1"/>
  <c r="Q14" i="1"/>
  <c r="Q15" i="1"/>
  <c r="Q16" i="1"/>
  <c r="Q17" i="1"/>
  <c r="Q18" i="1"/>
  <c r="Q386" i="1"/>
  <c r="Q387" i="1"/>
  <c r="Q422" i="1"/>
  <c r="Q423" i="1"/>
  <c r="Q334" i="1"/>
  <c r="Q77" i="1"/>
  <c r="Q98" i="1"/>
  <c r="Q424" i="1"/>
  <c r="Q81" i="1"/>
  <c r="Q335" i="1"/>
  <c r="Q336" i="1"/>
  <c r="Q88" i="1"/>
  <c r="Q89" i="1"/>
  <c r="Q90" i="1"/>
  <c r="Q99" i="1"/>
  <c r="Q397" i="1"/>
  <c r="Q398" i="1"/>
  <c r="Q399" i="1"/>
  <c r="Q400" i="1"/>
  <c r="Q388" i="1"/>
  <c r="Q389" i="1"/>
  <c r="Q44" i="1"/>
  <c r="Q100" i="1"/>
  <c r="Q280" i="1"/>
  <c r="Q281" i="1"/>
  <c r="Q282" i="1"/>
  <c r="Q283" i="1"/>
  <c r="Q318" i="1"/>
  <c r="Q284" i="1"/>
  <c r="Q101" i="1"/>
  <c r="Q102" i="1"/>
  <c r="Q103" i="1"/>
  <c r="Q319" i="1"/>
  <c r="Q105" i="1"/>
  <c r="Q426" i="1"/>
  <c r="Q427" i="1"/>
  <c r="Q370" i="1"/>
  <c r="Q328" i="1"/>
  <c r="Q82" i="1"/>
  <c r="Q83" i="1"/>
  <c r="Q285" i="1"/>
  <c r="Q286" i="1"/>
  <c r="Q74" i="1"/>
  <c r="Q466" i="1"/>
  <c r="Q312" i="1"/>
  <c r="Q313" i="1"/>
  <c r="Q56" i="1"/>
  <c r="Q57" i="1"/>
  <c r="Q306" i="1"/>
  <c r="Q314" i="1"/>
  <c r="Q106" i="1"/>
  <c r="Q268" i="1"/>
  <c r="Q58" i="1"/>
  <c r="Q329" i="1"/>
  <c r="Q330" i="1"/>
  <c r="Q331" i="1"/>
  <c r="Q59" i="1"/>
  <c r="Q287" i="1"/>
  <c r="Q288" i="1"/>
  <c r="Q289" i="1"/>
  <c r="Q290" i="1"/>
  <c r="Q307" i="1"/>
  <c r="Q308" i="1"/>
  <c r="Q291" i="1"/>
  <c r="Q467" i="1"/>
  <c r="Q309" i="1"/>
  <c r="Q92" i="1"/>
  <c r="Q374" i="1"/>
  <c r="Q29" i="1"/>
  <c r="Q292" i="1"/>
  <c r="Q293" i="1"/>
  <c r="Q30" i="1"/>
  <c r="Q31" i="1"/>
  <c r="Q203" i="1"/>
  <c r="Q294" i="1"/>
  <c r="Q153" i="1"/>
  <c r="Q62" i="1"/>
  <c r="Q69" i="1"/>
  <c r="Q154" i="1"/>
  <c r="Q70" i="1"/>
  <c r="Q110" i="1"/>
  <c r="Q32" i="1"/>
  <c r="Q33" i="1"/>
  <c r="Q71" i="1"/>
  <c r="Q72" i="1"/>
  <c r="Q295" i="1"/>
  <c r="Q296" i="1"/>
  <c r="Q406" i="1"/>
  <c r="Q407" i="1"/>
  <c r="Q27" i="1"/>
  <c r="Q408" i="1"/>
  <c r="Q409" i="1"/>
  <c r="Q410" i="1"/>
  <c r="Q411" i="1"/>
  <c r="Q345" i="1"/>
  <c r="Q23" i="1"/>
  <c r="Q24" i="1"/>
  <c r="Q21" i="1"/>
  <c r="Q412" i="1"/>
  <c r="Q104" i="1"/>
  <c r="Q322" i="1"/>
  <c r="Q73" i="1"/>
  <c r="Q28" i="1"/>
  <c r="Q375" i="1"/>
  <c r="Q94" i="1"/>
  <c r="Q344" i="1"/>
  <c r="Q95" i="1"/>
  <c r="Q96" i="1"/>
  <c r="Q413" i="1"/>
  <c r="Q63" i="1"/>
  <c r="Q84" i="1"/>
  <c r="Q97" i="1"/>
  <c r="Q64" i="1"/>
  <c r="Q65" i="1"/>
  <c r="Q190" i="1"/>
  <c r="Q66" i="1"/>
  <c r="Q468" i="1"/>
  <c r="Q209" i="1"/>
  <c r="Q223" i="1"/>
  <c r="Q112" i="1"/>
  <c r="Q148" i="1"/>
  <c r="Q224" i="1"/>
  <c r="Q225" i="1"/>
  <c r="Q226" i="1"/>
  <c r="Q320" i="1"/>
  <c r="Q434" i="1"/>
  <c r="Q418" i="1"/>
  <c r="Q447" i="1"/>
  <c r="Q469" i="1"/>
  <c r="Q304" i="1"/>
  <c r="Q346" i="1"/>
  <c r="Q347" i="1"/>
  <c r="Q348" i="1"/>
  <c r="Q349" i="1"/>
  <c r="Q350" i="1"/>
  <c r="Q351" i="1"/>
  <c r="Q352" i="1"/>
  <c r="Q448" i="1"/>
  <c r="Q220" i="1"/>
  <c r="Q405" i="1"/>
  <c r="Q449" i="1"/>
  <c r="Q450" i="1"/>
  <c r="Q451" i="1"/>
  <c r="Q376" i="1"/>
  <c r="Q167" i="1"/>
  <c r="Q377" i="1"/>
  <c r="Q168" i="1"/>
  <c r="Q169" i="1"/>
  <c r="Q452" i="1"/>
  <c r="Q453" i="1"/>
  <c r="Q378" i="1"/>
  <c r="Q353" i="1"/>
  <c r="Q454" i="1"/>
  <c r="Q354" i="1"/>
  <c r="Q455" i="1"/>
  <c r="Q355" i="1"/>
  <c r="Q356" i="1"/>
  <c r="Q67" i="1"/>
  <c r="Q170" i="1"/>
  <c r="Q68" i="1"/>
  <c r="Q254" i="1"/>
  <c r="Q253" i="1"/>
  <c r="Q255" i="1"/>
  <c r="Q366" i="1"/>
  <c r="Q337" i="1"/>
  <c r="Q338" i="1"/>
  <c r="Q150" i="1"/>
  <c r="Q470" i="1"/>
  <c r="Q339" i="1"/>
  <c r="Q78" i="1"/>
  <c r="Q79" i="1"/>
  <c r="Q380" i="1"/>
  <c r="Q151" i="1"/>
  <c r="Q340" i="1"/>
  <c r="Q341" i="1"/>
  <c r="Q342" i="1"/>
  <c r="Q123" i="1"/>
  <c r="Q417" i="1"/>
  <c r="Q124" i="1"/>
  <c r="Q358" i="1"/>
  <c r="Q359" i="1"/>
  <c r="Q360" i="1"/>
  <c r="Q361" i="1"/>
  <c r="Q171" i="1"/>
  <c r="Q428" i="1"/>
  <c r="Q149" i="1"/>
  <c r="Q310" i="1"/>
  <c r="Q305" i="1"/>
  <c r="Q429" i="1"/>
  <c r="Q213" i="1"/>
  <c r="Q214" i="1"/>
  <c r="Q430" i="1"/>
  <c r="Q431" i="1"/>
  <c r="Q215" i="1"/>
  <c r="Q216" i="1"/>
  <c r="Q172" i="1"/>
  <c r="Q432" i="1"/>
  <c r="Q471" i="1"/>
  <c r="Q433" i="1"/>
  <c r="Q472" i="1"/>
  <c r="Q415" i="1"/>
  <c r="Q416" i="1"/>
  <c r="Q473" i="1"/>
  <c r="Q474" i="1"/>
  <c r="Q475" i="1"/>
  <c r="Q363" i="1"/>
  <c r="Q364" i="1"/>
  <c r="Q367" i="1"/>
  <c r="Q365" i="1"/>
  <c r="Q476" i="1"/>
  <c r="Q477" i="1"/>
  <c r="Q263" i="1"/>
  <c r="Q269" i="1"/>
  <c r="Q439" i="1"/>
  <c r="Q440" i="1"/>
  <c r="Q441" i="1"/>
  <c r="Q442" i="1"/>
  <c r="Q443" i="1"/>
  <c r="Q183" i="1"/>
  <c r="Q204" i="1"/>
  <c r="Q205" i="1"/>
  <c r="Q444" i="1"/>
  <c r="Q445" i="1"/>
  <c r="Q446" i="1"/>
  <c r="Q456" i="1"/>
  <c r="Q232" i="1"/>
  <c r="Q233" i="1"/>
  <c r="Q234" i="1"/>
  <c r="Q235" i="1"/>
  <c r="Q221" i="1"/>
  <c r="Q315" i="1"/>
  <c r="Q251" i="1"/>
  <c r="Q316" i="1"/>
  <c r="Q252" i="1"/>
  <c r="Q362" i="1"/>
  <c r="Q217" i="1"/>
  <c r="Q218" i="1"/>
  <c r="Q219" i="1"/>
  <c r="Q246" i="1"/>
  <c r="Q435" i="1"/>
  <c r="Q173" i="1"/>
  <c r="Q200" i="1"/>
  <c r="Q189" i="1"/>
  <c r="Q201" i="1"/>
  <c r="Q478" i="1"/>
  <c r="Q45" i="1"/>
  <c r="Q46" i="1"/>
  <c r="Q155" i="1"/>
  <c r="Q184" i="1"/>
  <c r="Q87" i="1"/>
  <c r="Q174" i="1"/>
  <c r="Q373" i="1"/>
  <c r="Q175" i="1"/>
  <c r="Q176" i="1"/>
  <c r="Q7" i="1"/>
  <c r="Q152" i="1"/>
  <c r="Q247" i="1"/>
  <c r="Q248" i="1"/>
  <c r="Q479" i="1"/>
  <c r="Q480" i="1"/>
  <c r="Q249" i="1"/>
  <c r="Q250" i="1"/>
  <c r="Q436" i="1"/>
  <c r="Q437" i="1"/>
  <c r="Q142" i="1"/>
  <c r="Q244" i="1"/>
  <c r="Q125" i="1"/>
  <c r="Q343" i="1"/>
  <c r="Q379" i="1"/>
  <c r="Q481" i="1"/>
  <c r="Q438" i="1"/>
  <c r="Q202" i="1"/>
  <c r="H10" i="2"/>
  <c r="H11" i="2"/>
  <c r="H12" i="2"/>
  <c r="H13" i="2"/>
  <c r="H4" i="2"/>
  <c r="H5" i="2"/>
  <c r="H6" i="2"/>
  <c r="H7" i="2"/>
  <c r="H8" i="2"/>
  <c r="H9" i="2"/>
  <c r="H14" i="2"/>
  <c r="K4" i="2"/>
  <c r="K6" i="2" s="1"/>
  <c r="K5" i="2"/>
  <c r="K16" i="2" l="1"/>
  <c r="K15" i="2"/>
  <c r="M10" i="2"/>
  <c r="H15" i="2"/>
  <c r="K17" i="2" l="1"/>
</calcChain>
</file>

<file path=xl/sharedStrings.xml><?xml version="1.0" encoding="utf-8"?>
<sst xmlns="http://schemas.openxmlformats.org/spreadsheetml/2006/main" count="6427" uniqueCount="1749">
  <si>
    <t>ID</t>
  </si>
  <si>
    <t>ID_adr_Urb</t>
  </si>
  <si>
    <t>ADRESSE</t>
  </si>
  <si>
    <t>Résidenti</t>
  </si>
  <si>
    <t>hotel</t>
  </si>
  <si>
    <t>seniorie</t>
  </si>
  <si>
    <t>Bureaux</t>
  </si>
  <si>
    <t>Commerces</t>
  </si>
  <si>
    <t>Industries</t>
  </si>
  <si>
    <t>Enseigneme</t>
  </si>
  <si>
    <t>Cultu_spor</t>
  </si>
  <si>
    <t>Autre_equi</t>
  </si>
  <si>
    <t>Pk_public</t>
  </si>
  <si>
    <t>Pk_com</t>
  </si>
  <si>
    <t>Autres</t>
  </si>
  <si>
    <t>NB_TOTAL</t>
  </si>
  <si>
    <t>dont_mutua</t>
  </si>
  <si>
    <t>dont_mutBP</t>
  </si>
  <si>
    <t>refusBePar</t>
  </si>
  <si>
    <t>Type_parki</t>
  </si>
  <si>
    <t>Type_propr</t>
  </si>
  <si>
    <t>s_PE_IBGE</t>
  </si>
  <si>
    <t>s_PACS</t>
  </si>
  <si>
    <t>s_taxes</t>
  </si>
  <si>
    <t>s_ortho</t>
  </si>
  <si>
    <t>s_BePark</t>
  </si>
  <si>
    <t>s_autre</t>
  </si>
  <si>
    <t>Tx_remplis</t>
  </si>
  <si>
    <t>Echeanc_PE</t>
  </si>
  <si>
    <t>Zone_RRU</t>
  </si>
  <si>
    <t>Sup_bure2</t>
  </si>
  <si>
    <t>Nb_COBRACE</t>
  </si>
  <si>
    <t>Remarque</t>
  </si>
  <si>
    <t>Potentiel</t>
  </si>
  <si>
    <t>pot_cobrac</t>
  </si>
  <si>
    <t>tot_nonres</t>
  </si>
  <si>
    <t>REM_30</t>
  </si>
  <si>
    <t>30_FINAL</t>
  </si>
  <si>
    <t>10_FINAL</t>
  </si>
  <si>
    <t>30_PDF</t>
  </si>
  <si>
    <t>10_PDF</t>
  </si>
  <si>
    <t>deja_inves</t>
  </si>
  <si>
    <t>Rue Van Droogenbroeck, 18 - 1030 Schaerbeek</t>
  </si>
  <si>
    <t>NON</t>
  </si>
  <si>
    <t>couvert_hors_sol</t>
  </si>
  <si>
    <t>privé</t>
  </si>
  <si>
    <t>B</t>
  </si>
  <si>
    <t>Garagiste avec parc stationnement selon PE (11 places) et 10 dépots véhicules usagers- chiffres PAC non retenus car impossibles (108)</t>
  </si>
  <si>
    <t>non</t>
  </si>
  <si>
    <t>Rue Anatole France, 115 - 1030 Schaerbeek</t>
  </si>
  <si>
    <t>Selon PE : 19 pl bureaux, mais selon PACS : 16 pl résidentiel (ortho = bureaux)</t>
  </si>
  <si>
    <t>Avenue Huart Hamoir, 55 - 1030 Schaerbeek</t>
  </si>
  <si>
    <t>A</t>
  </si>
  <si>
    <t>Avenue Huart Hamoir, 40 - 1030 Schaerbeek</t>
  </si>
  <si>
    <t>boxes_ilot</t>
  </si>
  <si>
    <t>seulement PACS mais visible sur l'ortho</t>
  </si>
  <si>
    <t>Avenue Colonel Picquart, 39 - 1030 Schaerbeek</t>
  </si>
  <si>
    <t>Avenue Georges Rodenbach, 29 - 1030 Schaerbeek</t>
  </si>
  <si>
    <t>mix_ouvert_couvertHS</t>
  </si>
  <si>
    <t>public</t>
  </si>
  <si>
    <t>NOVA</t>
  </si>
  <si>
    <t>Parking police pour véhicules de service - nb places repris du permis de 2020 dans NOVA</t>
  </si>
  <si>
    <t>voir si possible vu que police ?</t>
  </si>
  <si>
    <t>Avenue Georges Rodenbach, 40 - 1030 Schaerbeek</t>
  </si>
  <si>
    <t>ouvert</t>
  </si>
  <si>
    <t>Garagiste - seulement PACS mais visible sur ortho et potentiel de mutualisation</t>
  </si>
  <si>
    <t>Rue Auguste Snieders, 23 - 1030 Schaerbeek</t>
  </si>
  <si>
    <t>Entrée/sortie de chaque côté du bloc - sur le terrain 30 couvert et 14 ouvert</t>
  </si>
  <si>
    <t>+ potentiel COBRACE</t>
  </si>
  <si>
    <t>rapport_Ph3_13</t>
  </si>
  <si>
    <t>oui</t>
  </si>
  <si>
    <t>Avenue Georges Rodenbach, 75 - 1030 Schaerbeek</t>
  </si>
  <si>
    <t>taxe reprend en taux 1- non contacté BePark</t>
  </si>
  <si>
    <t>Avenue Zénobe Gramme, 11 - 1030 Schaerbeek</t>
  </si>
  <si>
    <t>seulement PACS mais visible sur ortho</t>
  </si>
  <si>
    <t>Rue Max Roos, 56 - 1030 Schaerbeek</t>
  </si>
  <si>
    <t>couvert_sous_sol</t>
  </si>
  <si>
    <t>Avenue Monplaisir, à côté de la gare de Schaerbeek</t>
  </si>
  <si>
    <t>pas de point adresse - potentiel pour futur parking</t>
  </si>
  <si>
    <t>OUI</t>
  </si>
  <si>
    <t>Rue Nicolas Defrêcheux, 9 - 1030 Schaerbeek</t>
  </si>
  <si>
    <t>catégorie PE reprise (pas PACS)</t>
  </si>
  <si>
    <t>Avenue Emile Zola, 52 - 1030 Schaerbeek</t>
  </si>
  <si>
    <t>Avenue Sleeckx, 39 - 1030 Schaerbeek</t>
  </si>
  <si>
    <t>Avenue Sleeckx, 37 - 1030 Schaerbeek</t>
  </si>
  <si>
    <t>Avenue Sleeckx, 11 - 1030 Schaerbeek</t>
  </si>
  <si>
    <t>Rue Docteur Elie Lambotte, 149 - 1030 Schaerbeek</t>
  </si>
  <si>
    <t>133 pl selon PACS</t>
  </si>
  <si>
    <t>Rue de l'Agriculture, 96 - 1030 Schaerbeek</t>
  </si>
  <si>
    <t>Rue de l'Agriculture, 126 - 1030 Schaerbeek</t>
  </si>
  <si>
    <t>Selon PACS, 92 pl, mais selon PE : 67 pl et superfiice au sol permet plutot 67 --&gt; 67 retenu (pas d'info dans NOVA)</t>
  </si>
  <si>
    <t>Rue du Foyer Schaerbeekois, 105 - 1030 Schaerbeek</t>
  </si>
  <si>
    <t>23 places + 7 pour véhicules usagers</t>
  </si>
  <si>
    <t>Chaussée de Haecht, 577 - 1030 Schaerbeek</t>
  </si>
  <si>
    <t>Rue du Foyer Schaerbeekois, 36 - 1030 Schaerbeek</t>
  </si>
  <si>
    <t>mix_ss_ouvert</t>
  </si>
  <si>
    <t>maison de repos du CPAS - couvert (175) - ouvert (26)</t>
  </si>
  <si>
    <t>rapport_Ph3_61</t>
  </si>
  <si>
    <t>Avenue Britsiers, 5 - 1030 Schaerbeek</t>
  </si>
  <si>
    <t>pas de PE dans NOVAC</t>
  </si>
  <si>
    <t>Boulevard Lambermont, 238 - 1030 Schaerbeek</t>
  </si>
  <si>
    <t>Selon taxes : 92 pl expl com de P, selon PE : 184 ouvert + 112 couverts --&gt; chiffre retenu = PE (Terrain : 220). Peut-etre une partie des places couvertes = logmt (pas d'info dispo)</t>
  </si>
  <si>
    <t>potentiel intéressant mais hors zone mais proche de deux zones</t>
  </si>
  <si>
    <t>rapport_Ph3_63</t>
  </si>
  <si>
    <t>rapport_Ph4_63</t>
  </si>
  <si>
    <t>Rue Richard Vandevelde, 140 - 1030 Schaerbeek</t>
  </si>
  <si>
    <t>C</t>
  </si>
  <si>
    <t>seulement PACS mais visible sur l'ortho - Résidentiel selon PACS, mais commerce selon streetview 2019 (parking réservé à la clientèle) une partie est peut-être résidentielle</t>
  </si>
  <si>
    <t>Square Apollo, 1 - 1030 Schaerbeek</t>
  </si>
  <si>
    <t>Rue Richard Vandevelde, 84 - 1030 Schaerbeek</t>
  </si>
  <si>
    <t>mix_boxes_couvert</t>
  </si>
  <si>
    <t>Garagiste avec parc stationnement selon PE (17 places) + 6 places pour véhicules usagers selon PE</t>
  </si>
  <si>
    <t>Chaussée de Haecht, 693 - 1030 Schaerbeek</t>
  </si>
  <si>
    <t>Rue de l'Agriculture, 75 - 1030 Schaerbeek</t>
  </si>
  <si>
    <t>Chaussée de Helmet, 176 - 1030 Schaerbeek</t>
  </si>
  <si>
    <t>mix_Boxes_Ouvert</t>
  </si>
  <si>
    <t>12 places selon PACS - PE repris</t>
  </si>
  <si>
    <t>Rue Fernand Séverin, 65 - 1030 Schaerbeek</t>
  </si>
  <si>
    <t>selon PE 20 en commerce d'entretien de véhicule - plus d'enseigne selon ortho et PACS = résidentiel (pas d'info en + via NOVA)</t>
  </si>
  <si>
    <t>Rue Fernand Séverin, 69 - 1030 Schaerbeek</t>
  </si>
  <si>
    <t>seulement PACS --&gt; possible selon ortho (pas d'info en + via NOVA)</t>
  </si>
  <si>
    <t>Rue du Tilleul, 132 - 1030 Schaerbeek</t>
  </si>
  <si>
    <t>Selon PACS : 15 pl résidentiel, mais selon PE : 15 pl secteur automobile/Garagiste</t>
  </si>
  <si>
    <t>Rue Docteur Elie Lambotte, 238 - 1030 Schaerbeek</t>
  </si>
  <si>
    <t>Rue du Corbeau, 70 - 1030 Schaerbeek</t>
  </si>
  <si>
    <t>Rue du Corbeau, 17 - 1030 Schaerbeek</t>
  </si>
  <si>
    <t>20 + 4 motos - chiffres adaptés selon données PU récent reçues de la commune</t>
  </si>
  <si>
    <t>Rue du Tilleul, 156 - 1030 Schaerbeek</t>
  </si>
  <si>
    <t>Nb places repris du PU</t>
  </si>
  <si>
    <t>Rue Stijn Streuvels, 23 - 1030 Schaerbeek</t>
  </si>
  <si>
    <t>Rue Jan Blockx, 40 - 1030 Schaerbeek</t>
  </si>
  <si>
    <t>Rue Nestor De Tière, 21 - 1030 Schaerbeek</t>
  </si>
  <si>
    <t>Boulevard Lambermont, 196 - 1030 Schaerbeek</t>
  </si>
  <si>
    <t>Chaussée de Helmet, 165 - 1030 Schaerbeek</t>
  </si>
  <si>
    <t>Parking pour clientèle du car wash situé au 165 de la chaussée de Helmet - sur le terrain 19 places comptées</t>
  </si>
  <si>
    <t>rapport_Ph3_35</t>
  </si>
  <si>
    <t>rapport_Ph4_35</t>
  </si>
  <si>
    <t>Chaussée de Helmet, 203 - 1030 Schaerbeek</t>
  </si>
  <si>
    <t>Chaussée de Helmet, 217 - 1030 Schaerbeek</t>
  </si>
  <si>
    <t>banque vide selon Taxe -- non contacté BePark</t>
  </si>
  <si>
    <t>Square François Riga, 30 - 1030 Schaerbeek</t>
  </si>
  <si>
    <t>PU 2020 pour passer de bureau en logement - Mutualisation temporaire des 16 places existantes en attentant le chantier</t>
  </si>
  <si>
    <t>Rue de la Bruyère, 19 - 1030 Schaerbeek</t>
  </si>
  <si>
    <t>Avenue Emile Max, 152 - 1030 Schaerbeek</t>
  </si>
  <si>
    <t>Avenue Eugène Plasky, 121 - 1030 Schaerbeek</t>
  </si>
  <si>
    <t>Avenue de l'Emeraude, 41 - 1030 Schaerbeek</t>
  </si>
  <si>
    <t>Avenue de l'Emeraude, 67 - 1030 Schaerbeek</t>
  </si>
  <si>
    <t>Avenue de l'Emeraude, 64 - 1030 Schaerbeek</t>
  </si>
  <si>
    <t>Avenue de l'Emeraude, 58 - 1030 Schaerbeek</t>
  </si>
  <si>
    <t>Rue du Saphir, 33 - 1030 Schaerbeek</t>
  </si>
  <si>
    <t>Rue du Saphir, 32 - 1030 Schaerbeek</t>
  </si>
  <si>
    <t>Place de Jamblinne de Meux, 34 - 1030 Schaerbeek</t>
  </si>
  <si>
    <t>pas de PE- non contacté BePark</t>
  </si>
  <si>
    <t>Avenue Eugène Plasky, 30 - 1030 Schaerbeek</t>
  </si>
  <si>
    <t>Rue Victor Hugo, 180 - 1030 Schaerbeek</t>
  </si>
  <si>
    <t>Avenue du Diamant, 144 - 1030 Schaerbeek</t>
  </si>
  <si>
    <t>Avenue de l'Opale, 124 - 1030 Schaerbeek</t>
  </si>
  <si>
    <t>Avenue de l'Opale, 138 - 1030 Schaerbeek</t>
  </si>
  <si>
    <t>Avenue Emile Max, 160 - 1030 Schaerbeek</t>
  </si>
  <si>
    <t>Avenue Emile Max, 146 - 1030 Schaerbeek</t>
  </si>
  <si>
    <t>Avenue Adolphe Lacomblé, 66 - 1030 Schaerbeek</t>
  </si>
  <si>
    <t>Avenue Adolphe Lacomblé, 62 - 1030 Schaerbeek</t>
  </si>
  <si>
    <t>Avenue Adolphe Lacomblé, 70 - 1030 Schaerbeek</t>
  </si>
  <si>
    <t>Avenue de Roodebeek, 22 - 1030 Schaerbeek</t>
  </si>
  <si>
    <t>NOVA confirme que box en intérieur d'îlot mais ne précise pas combien --&gt; nb = nb mentionné dans PACS</t>
  </si>
  <si>
    <t>Avenue de Roodebeek, 26 - 1030 Schaerbeek</t>
  </si>
  <si>
    <t>Rue Victor Hugo, 215 - 1030 Schaerbeek</t>
  </si>
  <si>
    <t>Rue Victor Hugo, 191 - 1030 Schaerbeek</t>
  </si>
  <si>
    <t>seulement PACS mais visible sur l'ortho - nb en intérieur d'ilot estimé</t>
  </si>
  <si>
    <t>Avenue de l'Opale, 34 - 1030 Schaerbeek</t>
  </si>
  <si>
    <t>Avenue Adolphe Lacomblé, 27 - 1030 Schaerbeek</t>
  </si>
  <si>
    <t>Boulevard Auguste Reyers, 137 - 1030 Schaerbeek</t>
  </si>
  <si>
    <t>Avenue Adolphe Lacomblé, 12 - 1030 Schaerbeek</t>
  </si>
  <si>
    <t>Avenue du Diamant, 168 - 1030 Schaerbeek</t>
  </si>
  <si>
    <t>Avenue de l'Opale, 117 - 1030 Schaerbeek</t>
  </si>
  <si>
    <t>Avenue Adolphe Lacomblé, 40 - 1030 Schaerbeek</t>
  </si>
  <si>
    <t>Avenue Adolphe Lacomblé, 50 - 1030 Schaerbeek</t>
  </si>
  <si>
    <t>Avenue Adolphe Lacomblé, 60 - 1030 Schaerbeek</t>
  </si>
  <si>
    <t>Rue Marcel Mariën, 17 - 1030 Schaerbeek</t>
  </si>
  <si>
    <t>Avenue Charbo, 20 - 1030 Schaerbeek</t>
  </si>
  <si>
    <t>Avenue Charbo, 18 - 1030 Schaerbeek</t>
  </si>
  <si>
    <t>mutualisation dans l'immeuble à côté (immeuble au coin) de 6 places - non repris car &lt; 10 places</t>
  </si>
  <si>
    <t>Rue Louis Scutenaire, 12 - 1030 Schaerbeek</t>
  </si>
  <si>
    <t>Avenue Félix Marchal, 3A - 1030 Schaerbeek</t>
  </si>
  <si>
    <t>Avenue Charbo, 24 - 1030 Schaerbeek</t>
  </si>
  <si>
    <t>Rue du Noyer, 170 - 1030 Schaerbeek</t>
  </si>
  <si>
    <t>vérifier le type (peut-être hors-sol) pas assez d'info disponible</t>
  </si>
  <si>
    <t>Avenue du Diamant, 38 - 1030 Schaerbeek</t>
  </si>
  <si>
    <t>Avenue du Diamant, 30 - 1030 Schaerbeek</t>
  </si>
  <si>
    <t>Chaussée de Louvain, 472 - 1030 Schaerbeek</t>
  </si>
  <si>
    <t>Chaussée de Louvain, 440 - 1030 Schaerbeek</t>
  </si>
  <si>
    <t>Service PE Schaerbeek</t>
  </si>
  <si>
    <t>Garagiste - potentiel pour parking &gt; 10 places mais pas exploitable maintenant (zone de travail)</t>
  </si>
  <si>
    <t>potentiel</t>
  </si>
  <si>
    <t>Place Dailly, 4 - 1030 Schaerbeek</t>
  </si>
  <si>
    <t>Casernes / NOVA compte 109+55 places - chiffres PE repris suite info BePark</t>
  </si>
  <si>
    <t>Rue Marcel Mariën, 3 - 1030 Schaerbeek</t>
  </si>
  <si>
    <t>Rue Marcel Mariën, 5 - 1030 Schaerbeek</t>
  </si>
  <si>
    <t>Avenue Eugène Plasky, 144 - 1030 Schaerbeek</t>
  </si>
  <si>
    <t>mix_couvert_boxes_ouvert</t>
  </si>
  <si>
    <t>terrain</t>
  </si>
  <si>
    <t>une partie est peut-être lié à du logement mais info pas disponible - 21 box - 4 couvert - 17 ouverts - 20 ss</t>
  </si>
  <si>
    <t>potentiel COBRACE à vérifier - une partie Boxes</t>
  </si>
  <si>
    <t>rapport_Ph3_232</t>
  </si>
  <si>
    <t>Avenue Eugène Plasky, 102 - 1030 Schaerbeek</t>
  </si>
  <si>
    <t>Avenue Eugène Plasky, 92 - 1030 Schaerbeek</t>
  </si>
  <si>
    <t>Avenue Milcamps, 145 - 1030 Schaerbeek</t>
  </si>
  <si>
    <t>Avenue Félix Marchal, 41 - 1030 Schaerbeek</t>
  </si>
  <si>
    <t>peut-être sous-sol pas assez d'info pour être sur</t>
  </si>
  <si>
    <t>Rue Victor Oudart, 7 - 1030 Schaerbeek</t>
  </si>
  <si>
    <t>nb places = PE et répartition entre fonctions selon différentes sources infos (pas d'info en + via NOVA)</t>
  </si>
  <si>
    <t>Rue Victor Oudart, 16 - 1030 Schaerbeek</t>
  </si>
  <si>
    <t>Rue Rasson, 24 - 1030 Schaerbeek</t>
  </si>
  <si>
    <t>Boulevard Auguste Reyers, 21 - 1030 Schaerbeek</t>
  </si>
  <si>
    <t>Avenue Eugène Plasky, 206 - 1030 Schaerbeek</t>
  </si>
  <si>
    <t>Chaussée de Louvain, 574 - 1030 Schaerbeek</t>
  </si>
  <si>
    <t>Fonction dépôt de véhicules usagers</t>
  </si>
  <si>
    <t>garagiste - intéressant ?</t>
  </si>
  <si>
    <t>Chaussée de Louvain, 580 - 1030 Schaerbeek</t>
  </si>
  <si>
    <t>PE mentionne seulement 23 mais PACS et intitulé PU dans NOVA reprennent 34</t>
  </si>
  <si>
    <t>Chaussée de Louvain, 542 - 1030 Schaerbeek</t>
  </si>
  <si>
    <t>chiffre adapté selon données PU récent reçues de la commune + cocnessionnaire actuellement vide avec 57 places voitures neuves</t>
  </si>
  <si>
    <t>Avenue Milcamps, 164 - 1030 Schaerbeek</t>
  </si>
  <si>
    <t>loueur de voitures</t>
  </si>
  <si>
    <t>Rue Colonel Bourg, 103 - 1030 Schaerbeek</t>
  </si>
  <si>
    <t>chantier en cours</t>
  </si>
  <si>
    <t>Rue Colonel Bourg, 105 - 1030 Schaerbeek</t>
  </si>
  <si>
    <t>mix ouvert (28) et sous-sol (37)- non contacté BePark</t>
  </si>
  <si>
    <t>Avenue de Mars, 71 - 1030 Schaerbeek</t>
  </si>
  <si>
    <t>boxes_front_rue</t>
  </si>
  <si>
    <t>Rue William Degouve de Nuncques, 26 - 1030 Schaerbeek</t>
  </si>
  <si>
    <t>Rue Knapen, 57 - 1030 Schaerbeek</t>
  </si>
  <si>
    <t>Rue Knapen, 37 - 1030 Schaerbeek</t>
  </si>
  <si>
    <t>Boulevard Auguste Reyers, 138 - 1030 Schaerbeek</t>
  </si>
  <si>
    <t>Boulevard Auguste Reyers, 136 - 1030 Schaerbeek</t>
  </si>
  <si>
    <t>Boulevard Auguste Reyers, 40 - 1030 Schaerbeek</t>
  </si>
  <si>
    <t>Boulevard Auguste Reyers, 36 - 1030 Schaerbeek</t>
  </si>
  <si>
    <t>en chantier</t>
  </si>
  <si>
    <t>Boulevard Auguste Reyers, 70 - 1030 Schaerbeek</t>
  </si>
  <si>
    <t>rapport_Ph3_146</t>
  </si>
  <si>
    <t>Boulevard Auguste Reyers, 80 - 1030 Schaerbeek</t>
  </si>
  <si>
    <t>chiffres = taxes - PE mentionne 391 places mais date de 2008</t>
  </si>
  <si>
    <t>Rue Colonel Bourg, 34 - 1030 Schaerbeek</t>
  </si>
  <si>
    <t>Rue Colonel Bourg, 110 - 1030 Schaerbeek</t>
  </si>
  <si>
    <t>mix sous-sol (46) et ouvert (81+35)</t>
  </si>
  <si>
    <t>Rue Colonel Bourg, 101 - 1030 Schaerbeek</t>
  </si>
  <si>
    <t>Taxe = 69 en tout mais toutes les autres sources disent 62 (couvert)+25(ouvert) - Taxe ira vérifier</t>
  </si>
  <si>
    <t>Rue Jules Lebrun, 20 - 1030 Schaerbeek</t>
  </si>
  <si>
    <t>magasin bricolage - non contacté BePark</t>
  </si>
  <si>
    <t>Chaussée de Louvain, 770 - 1030 Schaerbeek</t>
  </si>
  <si>
    <t>Concessionnaire - chiffres = taxes - PE = 114+57 (exposition)</t>
  </si>
  <si>
    <t>Avenue Jacques Georgin, 30 - 1030 Schaerbeek</t>
  </si>
  <si>
    <t>15 sont en parking ouvert et 157 en sous-sol</t>
  </si>
  <si>
    <t>Rue Henri Evenepoel, 96 - 1030 Schaerbeek</t>
  </si>
  <si>
    <t>Rue Henri Evenepoel, 9 - 1030 Schaerbeek</t>
  </si>
  <si>
    <t>Rue Henri Evenepoel, 19 - 1030 Schaerbeek</t>
  </si>
  <si>
    <t>Chaussée de Louvain, 557 - 1030 Schaerbeek</t>
  </si>
  <si>
    <t>Rue de Genève, 558 - 1030 Schaerbeek</t>
  </si>
  <si>
    <t>listing PU reçu de la commune</t>
  </si>
  <si>
    <t>PU délivré mais chantier pas commencé</t>
  </si>
  <si>
    <t>Avenue Fortin, 27 - 1030 Schaerbeek</t>
  </si>
  <si>
    <t>Chaussée de Louvain, 616 - 1030 Schaerbeek</t>
  </si>
  <si>
    <t>Chaussée de Louvain, 658 - 1030 Schaerbeek</t>
  </si>
  <si>
    <t>Chaussée de Louvain, 662 - 1030 Schaerbeek</t>
  </si>
  <si>
    <t>Concessionnaire - chiffres = taxes - PE et PACS = 114 places y compris pour véhicules neufs</t>
  </si>
  <si>
    <t>Rue Jules Lebrun, 31 - 1030 Schaerbeek</t>
  </si>
  <si>
    <t>Permis de régularisation en instruction - demandeur = Renault Meiser</t>
  </si>
  <si>
    <t>Boulevard Auguste Reyers, 181 - 1030 Schaerbeek</t>
  </si>
  <si>
    <t>Rue Général Gratry, 92 - 1030 Schaerbeek</t>
  </si>
  <si>
    <t>Avenue de Roodebeek, 82 - 1030 Schaerbeek</t>
  </si>
  <si>
    <t>Avenue de Roodebeek, 76 - 1030 Schaerbeek</t>
  </si>
  <si>
    <t>99 places selon dernieres demande de PU NOVA</t>
  </si>
  <si>
    <t>Avenue de Roodebeek, 70 - 1030 Schaerbeek</t>
  </si>
  <si>
    <t>Avenue Adolphe Lacomblé, 59 - 1030 Schaerbeek</t>
  </si>
  <si>
    <t>rapport_Ph3_189</t>
  </si>
  <si>
    <t>Avenue Adolphe Lacomblé, 57 - 1030 Schaerbeek</t>
  </si>
  <si>
    <t>une partie également couvert (sous-sol ?)</t>
  </si>
  <si>
    <t>Avenue Adolphe Lacomblé, 33 - 1030 Schaerbeek</t>
  </si>
  <si>
    <t>Rue du Noyer, 282 - 1030 Schaerbeek</t>
  </si>
  <si>
    <t>Place de Jamblinne de Meux, 3 - 1030 Schaerbeek</t>
  </si>
  <si>
    <t>non contacté BePark</t>
  </si>
  <si>
    <t>Place de Jamblinne de Meux, 13A - 1030 Schaerbeek</t>
  </si>
  <si>
    <t>Liste PU commune</t>
  </si>
  <si>
    <t>chiffres adaptés selon données PU récent reçues de la commune</t>
  </si>
  <si>
    <t>Rue de Linthout, 25 - 1030 Schaerbeek</t>
  </si>
  <si>
    <t>Vivaqua - PE mentionne 181 (ouvert) + 115 (souterrain)</t>
  </si>
  <si>
    <t>Avenue de Roodebeek, 17 - 1030 Schaerbeek</t>
  </si>
  <si>
    <t>taxe indique 78 places mais PE = 82 - sur le terrain 82 comptés</t>
  </si>
  <si>
    <t>Colruyt</t>
  </si>
  <si>
    <t>rapport_Ph3_181</t>
  </si>
  <si>
    <t>Avenue de Roodebeek, 89 - 1030 Schaerbeek</t>
  </si>
  <si>
    <t>projet récent avec 50 places (données taxe en cours de mise à jour)</t>
  </si>
  <si>
    <t>Boulevard Auguste Reyers, 167 - 1030 Schaerbeek</t>
  </si>
  <si>
    <t>Rue Frédéric Pelletier, 81-87 - 1030 Schaerbeek</t>
  </si>
  <si>
    <t>pas de point adresse - projet récent</t>
  </si>
  <si>
    <t>Rue Frédéric Pelletier, 105 - 1030 Schaerbeek</t>
  </si>
  <si>
    <t>Rue Frédéric Pelletier, 54 - 1030 Schaerbeek</t>
  </si>
  <si>
    <t>Rue Frédéric Pelletier, 8B - 1030 Schaerbeek</t>
  </si>
  <si>
    <t>Rue de Linthout, 63 - 1030 Schaerbeek</t>
  </si>
  <si>
    <t>Rue de l'Orme, 14 - 1030 Schaerbeek</t>
  </si>
  <si>
    <t>Rue Victor Lefèvre, 24 - 1030 Schaerbeek</t>
  </si>
  <si>
    <t>immeuble de bureau transformé en logements</t>
  </si>
  <si>
    <t>Rue du Noyer, 296 - 1030 Schaerbeek</t>
  </si>
  <si>
    <t>Garagiste - arrière batiment taille suffisante pour &gt; 10 places et accès carrossable - immeuble de logement ?</t>
  </si>
  <si>
    <t>Boulevard Auguste Reyers, 122 - 1030 Schaerbeek</t>
  </si>
  <si>
    <t>Avenue des Cerisiers, 7 - 1030 Schaerbeek</t>
  </si>
  <si>
    <t>Rue Vergote, 25 - 1030 Schaerbeek</t>
  </si>
  <si>
    <t>mix_ouvert_couvertHS_couvertSS</t>
  </si>
  <si>
    <t>mix couvert (sous-sol et hors sol - 19) et ouvert (14)</t>
  </si>
  <si>
    <t>Rue Vergote, 7 - 1030 Schaerbeek</t>
  </si>
  <si>
    <t>Rue Vergote, 3 - 1030 Schaerbeek</t>
  </si>
  <si>
    <t>Rue de Linthout, 89A - 1030 Schaerbeek</t>
  </si>
  <si>
    <t>PCA renseigne 51 places mais PE confirmé par ortho</t>
  </si>
  <si>
    <t>Rue de Linthout, 79 - 1030 Schaerbeek</t>
  </si>
  <si>
    <t>le PACS le reprend en commerce mais infirmé par PE et ortho</t>
  </si>
  <si>
    <t>Rue Frédéric Pelletier, 33 - 1030 Schaerbeek</t>
  </si>
  <si>
    <t>Rue des Coteaux, 149 - 1030 Schaerbeek</t>
  </si>
  <si>
    <t>entreprise de démanagement = places pour camions</t>
  </si>
  <si>
    <t>Rue des Coteaux, 129 - 1030 Schaerbeek</t>
  </si>
  <si>
    <t>Avenue Rogier, 43 - 1030 Schaerbeek</t>
  </si>
  <si>
    <t>Chaussée de Haecht, 164 - 1030 Schaerbeek</t>
  </si>
  <si>
    <t>vérifier si hors sol ou sous-sol</t>
  </si>
  <si>
    <t>Avenue Rogier, 2 - 1030 Schaerbeek</t>
  </si>
  <si>
    <t>Chaussée de Haecht, 200 - 1030 Schaerbeek</t>
  </si>
  <si>
    <t>Haecht 200 : fonction bureau (règlement taxe) sera vérifiée par service Taxe car sur ortho et BePark = commerce ou exploitation commerciale</t>
  </si>
  <si>
    <t>Rue des Coteaux, 223 - 1030 Schaerbeek</t>
  </si>
  <si>
    <t>NOVA permis 2018</t>
  </si>
  <si>
    <t>nouveau projet de logements réalisé en intérieur d'îlot - info commune : parking non utlisé par résidents</t>
  </si>
  <si>
    <t>parking non utilisé par résidents - potentiel mutualisation</t>
  </si>
  <si>
    <t>rapport_Ph3_352</t>
  </si>
  <si>
    <t>rapport_Ph4_352</t>
  </si>
  <si>
    <t>Avenue Paul Deschanel, 142 - 1030 Schaerbeek</t>
  </si>
  <si>
    <t>Avenue Paul Deschanel, 138 - 1030 Schaerbeek</t>
  </si>
  <si>
    <t>Avenue Paul Deschanel, 136 - 1030 Schaerbeek</t>
  </si>
  <si>
    <t>Avenue Paul Deschanel, 173 - 1030 Schaerbeek</t>
  </si>
  <si>
    <t>13 boxes et 12 couverts</t>
  </si>
  <si>
    <t>Rue des Coteaux, 120 - 1030 Schaerbeek</t>
  </si>
  <si>
    <t>Rue Josaphat, 148 - 1030 Schaerbeek</t>
  </si>
  <si>
    <t>réparation de véhicule dans le PE (industrie dans le PACS) - exploitation commerciale de P dans les faits</t>
  </si>
  <si>
    <t>réparation véhicule peut-être moins intéressant ?</t>
  </si>
  <si>
    <t>rapport_Ph3_342</t>
  </si>
  <si>
    <t>rapport_Ph4_342</t>
  </si>
  <si>
    <t>Rue Thiéfry, 63 - 1030 Schaerbeek</t>
  </si>
  <si>
    <t>Garagiste avec parc stationnement couvert selon PE + dépôt véhicules usagers selon PE</t>
  </si>
  <si>
    <t>Rue des Coteaux, 195 - 1030 Schaerbeek</t>
  </si>
  <si>
    <t>Site internet NOVAC PE</t>
  </si>
  <si>
    <t>NOVAC le reprend en affectation commerce mais exploitation commerciale de P dans les faits</t>
  </si>
  <si>
    <t>rapport_Ph3_344</t>
  </si>
  <si>
    <t>rapport_Ph4_344</t>
  </si>
  <si>
    <t>Rue Vonck, 75 - 1030 Schaerbeek</t>
  </si>
  <si>
    <t>Rue Verboeckhaven, 106A - 1030 Schaerbeek</t>
  </si>
  <si>
    <t>Rue L'Olivier, 64 - 1030 Schaerbeek</t>
  </si>
  <si>
    <t>Avenue Paul Deschanel, 203 - 1030 Schaerbeek</t>
  </si>
  <si>
    <t>Avenue Paul Deschanel, 156 - 1030 Schaerbeek</t>
  </si>
  <si>
    <t>Avenue Paul Deschanel, 148 - 1030 Schaerbeek</t>
  </si>
  <si>
    <t>Avenue Jan Stobbaerts, 88 - 1030 Schaerbeek</t>
  </si>
  <si>
    <t>Rue Josse Impens, 112 - 1030 Schaerbeek</t>
  </si>
  <si>
    <t>Rue Frans Binjé, 16 - 1030 Schaerbeek</t>
  </si>
  <si>
    <t>Rue Godefroid Devreese, 28 - 1030 Schaerbeek</t>
  </si>
  <si>
    <t>fonction dépôts véhicules usagers</t>
  </si>
  <si>
    <t>Rue Josse Impens, 79 - 1030 Schaerbeek</t>
  </si>
  <si>
    <t>Rue Josse Impens, 75 - 1030 Schaerbeek</t>
  </si>
  <si>
    <t>Rue Josse Impens, 55 - 1030 Schaerbeek</t>
  </si>
  <si>
    <t>potentiel parking visible sur ortho (pas d'info en + via NOVA)</t>
  </si>
  <si>
    <t>Rue Fontaine d'Amour, 19 - 1030 Schaerbeek</t>
  </si>
  <si>
    <t>+ 26 places motos</t>
  </si>
  <si>
    <t>déjà exploité comme parking commercial</t>
  </si>
  <si>
    <t>Rue des Palais, 100 - 1030 Schaerbeek</t>
  </si>
  <si>
    <t>nb estimé selon superficie</t>
  </si>
  <si>
    <t>Rue des Palais, 159 - 1030 Schaerbeek</t>
  </si>
  <si>
    <t>une partie sera liée au nouvel immeuble de logements en construction au 48 rue Gallait</t>
  </si>
  <si>
    <t>Rue Gallait, 58 - 1030 Schaerbeek</t>
  </si>
  <si>
    <t>projet en cours - campus Gallait - potentiel de mutualisation énoncé comme objectfi dans le PU</t>
  </si>
  <si>
    <t>campus scolaire NL - potentiel déjà énoncé dans le PU</t>
  </si>
  <si>
    <t>rapport_Ph3_382</t>
  </si>
  <si>
    <t>Rue Vanderlinden, 78 - 1030 Schaerbeek</t>
  </si>
  <si>
    <t>Rue Gallait, 138 - 1030 Schaerbeek</t>
  </si>
  <si>
    <t>PE mentionne 35 places / bureau = accessoire au commerce (pas de COBRACE)</t>
  </si>
  <si>
    <t>rapport_Ph3_384</t>
  </si>
  <si>
    <t>rapport_Ph4_384</t>
  </si>
  <si>
    <t>Rue du Pavillon, 55 - 1030 Schaerbeek</t>
  </si>
  <si>
    <t>Rue du Pavillon, 45 - 1030 Schaerbeek</t>
  </si>
  <si>
    <t>projet en cours - chiffres adaptés selon données PU récent reçues de la commune</t>
  </si>
  <si>
    <t>Rue des Palais, 70 - 1030 Schaerbeek</t>
  </si>
  <si>
    <t>rapport_Ph4_370</t>
  </si>
  <si>
    <t>Rue Verte, 116 - 1030 Schaerbeek</t>
  </si>
  <si>
    <t>Garagiste (carrosserie) - PE vise 20 places mais comprend 80 places pour véhicules usagers - déjà exploitation commerciale de P dans les faits ? souhait de revente du propriétaire</t>
  </si>
  <si>
    <t>propriétaire intéressé de revendre son ba^timent qui abrite un Parking (discussion dans le cadre du SCQ)</t>
  </si>
  <si>
    <t>rapport_Ph3_371</t>
  </si>
  <si>
    <t>Rue de Quatrecht, 38 - 1030 Schaerbeek</t>
  </si>
  <si>
    <t>chantier en cours - 152 places pour parking public interparking + places pour logements</t>
  </si>
  <si>
    <t>partie parking public prévue donc sans doute hors scoop</t>
  </si>
  <si>
    <t>rapport_Ph3_372</t>
  </si>
  <si>
    <t>Rue des Palais, 29 - 1030 Schaerbeek</t>
  </si>
  <si>
    <t>commun avec l'immeuble 151 rue de la poste</t>
  </si>
  <si>
    <t>Rue de Potter, 11 - 1030 Schaerbeek</t>
  </si>
  <si>
    <t>+ confirmation PE Novac = PE récent</t>
  </si>
  <si>
    <t>Rue d'Hoogvorst, 7 - 1030 Schaerbeek</t>
  </si>
  <si>
    <t>derrière le car wash</t>
  </si>
  <si>
    <t>déjà exploité à vocation commerciale</t>
  </si>
  <si>
    <t>Rue Rogier, 120 - 1030 Schaerbeek</t>
  </si>
  <si>
    <t>Rue Verte, 216 - 1030 Schaerbeek</t>
  </si>
  <si>
    <t>air libre (10) et couvert (24) - avant une partie était mutualisée</t>
  </si>
  <si>
    <t>avant une partie était mutualisée - possible recommencer ? + potentiel COBRACE</t>
  </si>
  <si>
    <t>rapport_Ph3_378</t>
  </si>
  <si>
    <t>Rue Cornet de Grez, 9 - 1030 Schaerbeek</t>
  </si>
  <si>
    <t>Chaussée de Haecht, 101 - 1030 Schaerbeek</t>
  </si>
  <si>
    <t>PE mentionne 23 places- non contacté BePark</t>
  </si>
  <si>
    <t>Rue Cornet de Grez, 21 - 1030 Schaerbeek</t>
  </si>
  <si>
    <t>ancien batiment de parking abandonné = potentiel - nb estimé - pas de point adresse</t>
  </si>
  <si>
    <t>Rue Royale, 271 - 1030 Schaerbeek</t>
  </si>
  <si>
    <t>il semble y avoir aussi quelques places (4) à l'air libre</t>
  </si>
  <si>
    <t>Place de la Reine, 1 - 1030 Schaerbeek</t>
  </si>
  <si>
    <t>Rue Royale, 336 - 1030 Schaerbeek</t>
  </si>
  <si>
    <t>chiffres PE mentionnent 77 places mais datent de 2008 --&gt; chiffres taxe retenus (pas d'info dans NOVA)</t>
  </si>
  <si>
    <t>école</t>
  </si>
  <si>
    <t>rapport_Ph3_366</t>
  </si>
  <si>
    <t>rapport_Ph4_366</t>
  </si>
  <si>
    <t>Rue de la Poste, 109 - 1030 Schaerbeek</t>
  </si>
  <si>
    <t>mutualisation arrêtée au 01/01/2019 - PE mentionne 28 places</t>
  </si>
  <si>
    <t>mutualisation arrêtée au 01/01/2019</t>
  </si>
  <si>
    <t>rapport_Ph3_367</t>
  </si>
  <si>
    <t>rapport_Ph4_367</t>
  </si>
  <si>
    <t>Rue des Palais, 46 - 1030 Schaerbeek</t>
  </si>
  <si>
    <t>plans reçus de M-Village</t>
  </si>
  <si>
    <t>M-Village+CoCof+Area (20 industrie = taxe)- non contacté BePark</t>
  </si>
  <si>
    <t>rapport_Ph4_369</t>
  </si>
  <si>
    <t>Rue des Coteaux, 217 - 1030 Schaerbeek</t>
  </si>
  <si>
    <t>étude compensation Reine-Haecht Agence stationnement</t>
  </si>
  <si>
    <t>Avenue Rogier, 116 - 1030 Schaerbeek</t>
  </si>
  <si>
    <t>Avenue Paul Deschanel, 119 - 1030 Schaerbeek</t>
  </si>
  <si>
    <t>Rue des Coteaux, 256 - 1030 Schaerbeek</t>
  </si>
  <si>
    <t>nouvel immeuble</t>
  </si>
  <si>
    <t>Avenue Paul Deschanel, 57 - 1030 Schaerbeek</t>
  </si>
  <si>
    <t>il semble qu'il y ait en plus des emplacements à l'air libre - pris en compte dans les 11 renseignés au PE ?</t>
  </si>
  <si>
    <t>Rue des Coteaux, 282 - 1030 Schaerbeek</t>
  </si>
  <si>
    <t>Avenue Paul Deschanel, 88 - 1030 Schaerbeek</t>
  </si>
  <si>
    <t>Avenue Paul Deschanel, 94 - 1030 Schaerbeek</t>
  </si>
  <si>
    <t>Avenue Dailly, 214 - 1030 Schaerbeek</t>
  </si>
  <si>
    <t>Garagiste avec parc stationnement couvert selon PE (20 places) et 5 dépot véhicules usagers selon PE</t>
  </si>
  <si>
    <t>Grande rue au Bois, 93 - 1030 Schaerbeek</t>
  </si>
  <si>
    <t>Avenue Dailly, 130 - 1030 Schaerbeek</t>
  </si>
  <si>
    <t>Avenue Dailly, 243 - 1030 Schaerbeek</t>
  </si>
  <si>
    <t>Taxe mentionne 16 places mais PE et ortho = 18</t>
  </si>
  <si>
    <t>Avenue Dailly, 233 - 1030 Schaerbeek</t>
  </si>
  <si>
    <t>Chaussée de Louvain, 675 - 1030 Schaerbeek</t>
  </si>
  <si>
    <t>Chaussée de Louvain, 381 - 1030 Schaerbeek</t>
  </si>
  <si>
    <t>Concessionnaire - chiffres = taxes - PE mentionne 70 places y compris véhiocules neufs- non contacté BePark</t>
  </si>
  <si>
    <t>concessionnaire - non contacté par BePark</t>
  </si>
  <si>
    <t>Rue Auguste Lambiotte, 144 - 1030 Schaerbeek</t>
  </si>
  <si>
    <t>Rue Auguste Lambiotte, 132 - 1030 Schaerbeek</t>
  </si>
  <si>
    <t>Rue Jacques Jansen, 47 - 1030 Schaerbeek</t>
  </si>
  <si>
    <t>Chaussée de Louvain, 343 - 1030 Schaerbeek</t>
  </si>
  <si>
    <t>Grande rue au Bois, 165 - 1030 Schaerbeek</t>
  </si>
  <si>
    <t>Avenue Chazal, 14 - 1030 Schaerbeek</t>
  </si>
  <si>
    <t>Wibra / données PE reprises</t>
  </si>
  <si>
    <t>Rue de la Luzerne, 53 - 1030 Schaerbeek</t>
  </si>
  <si>
    <t>Rue de la Luzerne, 61 - 1030 Schaerbeek</t>
  </si>
  <si>
    <t>Garagiste - selon propriétaire = 19 places - utilisé par la carrosserie mais potentiel de mutualisation</t>
  </si>
  <si>
    <t>rapport_Ph3_265</t>
  </si>
  <si>
    <t>Chaussée de Louvain, 423 - 1030 Schaerbeek</t>
  </si>
  <si>
    <t>Chaussée de Louvain, 407 - 1030 Schaerbeek</t>
  </si>
  <si>
    <t>Rue de la Luzerne, 40 - 1030 Schaerbeek</t>
  </si>
  <si>
    <t>Rue Emile Wittmann, 63 - 1030 Schaerbeek</t>
  </si>
  <si>
    <t>Visite 2018 - infraction PE</t>
  </si>
  <si>
    <t>Avenue Rogier, 349 - 1030 Schaerbeek</t>
  </si>
  <si>
    <t>Rue Auguste Lambiotte, 79 - 1030 Schaerbeek</t>
  </si>
  <si>
    <t>Rue du Noyer, 42 - 1030 Schaerbeek</t>
  </si>
  <si>
    <t>Rue du Noyer, 82 - 1030 Schaerbeek</t>
  </si>
  <si>
    <t>PACS renseigne en industrie mais typologie logement</t>
  </si>
  <si>
    <t>Rue du Noyer, 102 - 1030 Schaerbeek</t>
  </si>
  <si>
    <t>Avenue Charbo, 63 - 1030 Schaerbeek</t>
  </si>
  <si>
    <t>Chaussée de Louvain, 392 - 1030 Schaerbeek</t>
  </si>
  <si>
    <t>12 pl ouvert côté Brabaçonne - 24 pl couvert côté Louvain</t>
  </si>
  <si>
    <t>Chaussée de Louvain, 481 - 1030 Schaerbeek</t>
  </si>
  <si>
    <t>pas de PE</t>
  </si>
  <si>
    <t>Chaussée de Louvain, 473 - 1030 Schaerbeek</t>
  </si>
  <si>
    <t>Garagiste - potentiel pour parking 35 places mais pas exploitable maintenant (zone de travail et dépot véhicules neufs)</t>
  </si>
  <si>
    <t>Avenue Chazal, 109 - 1030 Schaerbeek</t>
  </si>
  <si>
    <t>Rue des Chardons, 44 - 1030 Schaerbeek</t>
  </si>
  <si>
    <t>Avenue Ernest Cambier, 27 - 1030 Schaerbeek</t>
  </si>
  <si>
    <t>Avenue Chazal, 151 - 1030 Schaerbeek</t>
  </si>
  <si>
    <t>Avenue Chazal, 145 - 1030 Schaerbeek</t>
  </si>
  <si>
    <t>21 boxes - 52 couverts sous-sol - 23 ouverts</t>
  </si>
  <si>
    <t>Rue Henri Stacquet, 49 - 1030 Schaerbeek</t>
  </si>
  <si>
    <t>servie PE Schaerbeek</t>
  </si>
  <si>
    <t>Garagiste (car wraping) - potentiel pour parking &gt; 10 places mais pas exploitable maintenant (zone de travail)</t>
  </si>
  <si>
    <t>Avenue Chazal, 140 - 1030 Schaerbeek</t>
  </si>
  <si>
    <t>Rue Paul Devigne, 21 - 1030 Schaerbeek</t>
  </si>
  <si>
    <t>Avenue Dailly, 88 - 1030 Schaerbeek</t>
  </si>
  <si>
    <t>Rue Artan, 11 - 1030 Schaerbeek</t>
  </si>
  <si>
    <t>Avenue Rogier, 219 - 1030 Schaerbeek</t>
  </si>
  <si>
    <t>Avenue Ernest Cambier, 139 - 1030 Schaerbeek</t>
  </si>
  <si>
    <t>Rue des Pavots, 18 - 1030 Schaerbeek</t>
  </si>
  <si>
    <t>Avenue Ernest Cambier, 45 - 1030 Schaerbeek</t>
  </si>
  <si>
    <t>Avenue Ernest Cambier, 41 - 1030 Schaerbeek</t>
  </si>
  <si>
    <t>Place de la Patrie, 22 - 1030 Schaerbeek</t>
  </si>
  <si>
    <t>concessionnaire - chiffres = taxes - PE mentionne aussi 45 places dans la salle d'exposition - non contacté BePark</t>
  </si>
  <si>
    <t>Rue de la Consolation, 75 - 1030 Schaerbeek</t>
  </si>
  <si>
    <t>Avenue Paul Deschanel, 264 - 1030 Schaerbeek</t>
  </si>
  <si>
    <t>pas de certitude sur le type : couvert sous-sol ou hors-sol ?</t>
  </si>
  <si>
    <t>Rue André Van Hasselt, 17 - 1030 Schaerbeek</t>
  </si>
  <si>
    <t>Rue André Van Hasselt, 27 - 1030 Schaerbeek</t>
  </si>
  <si>
    <t>Rue Alexandre Markelbach, 38 - 1030 Schaerbeek</t>
  </si>
  <si>
    <t>Rue de la Consolation, 70 - 1030 Schaerbeek</t>
  </si>
  <si>
    <t>bureaux du Foyer Schaerbeekois</t>
  </si>
  <si>
    <t>Rue Eugène Smits, 62 - 1030 Schaerbeek</t>
  </si>
  <si>
    <t>Rue Monrose, 21 - 1030 Schaerbeek</t>
  </si>
  <si>
    <t>Chaussée de Louvain, 329 - 1030 Schaerbeek</t>
  </si>
  <si>
    <t>PE mentionne 15 places mais sur l'ortho il semble qu'il y en a bcp plus que 15</t>
  </si>
  <si>
    <t>Chaussée de Louvain, 305 - 1030 Schaerbeek</t>
  </si>
  <si>
    <t>Rue Thomas Vinçotte, 75 - 1030 Schaerbeek</t>
  </si>
  <si>
    <t>Rue Thomas Vinçotte, 68 - 1030 Schaerbeek</t>
  </si>
  <si>
    <t>les chiffres et fonctions viennent du réglement taxe - PE et PACS mentionnent 18 places résidentiel</t>
  </si>
  <si>
    <t>Rue Artan, 122 - 1030 Schaerbeek</t>
  </si>
  <si>
    <t>fonction dépôts véhicules usagers - possibilité de mettre plus que 16 voitures selon ortho</t>
  </si>
  <si>
    <t>Rue Thomas Vinçotte, 18 - 1030 Schaerbeek</t>
  </si>
  <si>
    <t>Rue Thomas Vinçotte, 10 - 1030 Schaerbeek</t>
  </si>
  <si>
    <t>Rue de la Consolation, 93 - 1030 Schaerbeek</t>
  </si>
  <si>
    <t>incohérence entre sources - nb places repris de NOVA (permis 2014 pour transformer immeuble bureau en logements))</t>
  </si>
  <si>
    <t>Rue Colonel Bourg, 76 - 1030 Schaerbeek</t>
  </si>
  <si>
    <t>Avenue Jacques Georgin, 12 - 1030 Schaerbeek</t>
  </si>
  <si>
    <t>une partie utilisée par RTL (56 places) et le reste par les commerces (Kreifle, Mazzeratti...)</t>
  </si>
  <si>
    <t>Boulevard du Roi Albert II, 27 - 1030 Schaerbeek</t>
  </si>
  <si>
    <t>Proximus</t>
  </si>
  <si>
    <t>à voir après la renovation/reconstruction</t>
  </si>
  <si>
    <t>Rue du Progrès, 189 - 1030 Schaerbeek</t>
  </si>
  <si>
    <t>quelques places creches - 20 watergroep - reste riverains</t>
  </si>
  <si>
    <t>Boulevard Général Wahis, 16D - 1030 Schaerbeek</t>
  </si>
  <si>
    <t>Rue Colonel Bourg, au croisement avec Reyers</t>
  </si>
  <si>
    <t>pas de point adresse - projet FRAME en cours - parking public pour le moment (60 places)</t>
  </si>
  <si>
    <t>Rue Gallait, 52 - 1030 Schaerbeek</t>
  </si>
  <si>
    <t>Visite terrain service Taxe</t>
  </si>
  <si>
    <t>magasin Roels - PE mentionne 54 places mais une partie n'existe plus cf. chantier voisin - données reprises du service Taxe</t>
  </si>
  <si>
    <t>rapport_Ph4_477</t>
  </si>
  <si>
    <t>Rue des Palais, 90 - 1030 Schaerbeek</t>
  </si>
  <si>
    <t>Avenue Rogier, 51 - 1030 Schaerbeek</t>
  </si>
  <si>
    <t>parking non officiel de l'hotel mais visible sur ortho que 10 voitures peuvent s'y garer</t>
  </si>
  <si>
    <t>Chaussée de Haecht, 637 - 1030 Schaerbeek</t>
  </si>
  <si>
    <t>projet exploitation dépôt d'oeuvre d'art - PE en instruction</t>
  </si>
  <si>
    <t>Rue Achille Detienne, 4A - 1030 Schaerbeek</t>
  </si>
  <si>
    <t>site internet NOVAC</t>
  </si>
  <si>
    <t>Rue Verte, 140A - 1030 Schaerbeek</t>
  </si>
  <si>
    <t>données PU de la commune</t>
  </si>
  <si>
    <t>pas de point adresse pour le 140A - chiffres adaptés selon données PU récent reçues de la commune</t>
  </si>
  <si>
    <t>Boulevard du Roi Albert II, 37 - 1030 Schaerbeek</t>
  </si>
  <si>
    <t>PE mentionne 202 places - chiffres retenus de Taxe</t>
  </si>
  <si>
    <t>potentiel COBRACE</t>
  </si>
  <si>
    <t>Boulevard du Roi Albert II, 35 - 1030 Schaerbeek</t>
  </si>
  <si>
    <t>petit potentiel COBRACE</t>
  </si>
  <si>
    <t>Place Princesse Elisabeth, 6 - 1030 Bruxelles</t>
  </si>
  <si>
    <t>Parking de la gare</t>
  </si>
  <si>
    <t>pas repris dans la selection car déjà projet de mutualisation dans le cadre aménagement Elisabeth</t>
  </si>
  <si>
    <t>Avenue de la Reine, 183 - 1000 Bruxelles</t>
  </si>
  <si>
    <t>hors SCH</t>
  </si>
  <si>
    <t>rapport_Ph3_470</t>
  </si>
  <si>
    <t>rapport_Ph4_470</t>
  </si>
  <si>
    <t>Boulevard du Roi Albert II, 33 - 1030 Schaerbeek</t>
  </si>
  <si>
    <t>Boulevard Auguste Reyers, 52 - 1030 Schaerbeek</t>
  </si>
  <si>
    <t>chiffres = taxes - projet en cours</t>
  </si>
  <si>
    <t>à voir après la reconstruction du site RTBF</t>
  </si>
  <si>
    <t>Rue Guido Gezelle, 22 - 1030 Schaerbeek</t>
  </si>
  <si>
    <t>terrain de gens du voyage - nombre estimé</t>
  </si>
  <si>
    <t>Chaussée de Helmet, 330 - 1030 Schaerbeek</t>
  </si>
  <si>
    <t>Garagiste (carrosserie) - potentiel pour parking &gt; 10 places mais pas exploitable maintenant (zone de travail)</t>
  </si>
  <si>
    <t>Rue Docteur Elie Lambotte, 245 - 1030 Schaerbeek</t>
  </si>
  <si>
    <t>garage utilisé pour motos de collection (particulier) - arrière batiment taille suffisante pour &gt; 10 places - potentiel dans le futur</t>
  </si>
  <si>
    <t>Chaussée de Haecht, 699 - 1030 Schaerbeek</t>
  </si>
  <si>
    <t>Rue Richard Vandevelde, 114 - 1030 Schaerbeek</t>
  </si>
  <si>
    <t>Chaussée de Haecht, 629 - 1030 Schaerbeek</t>
  </si>
  <si>
    <t>projet mixte bureaux, commerce, logement : répartition par fonction estimée - chiffres adapté selon données PU récent reçues de la commune</t>
  </si>
  <si>
    <t>Rue Portaels, 30 - 1030 Schaerbeek</t>
  </si>
  <si>
    <t>Garagiste - demande de permis retirée pour transformer le rez en 20 places --&gt; potentiel de 20 places mais pas exploitable maintenant (zone de travail)</t>
  </si>
  <si>
    <t>Rue Portaels, 43 - 1030 Schaerbeek</t>
  </si>
  <si>
    <t>vérifier que parking existe</t>
  </si>
  <si>
    <t>Avenue Princesse Elisabeth, 45 - 1030 Schaerbeek</t>
  </si>
  <si>
    <t>Rue Portaels, 134 - 1030 Schaerbeek</t>
  </si>
  <si>
    <t>projet en cours</t>
  </si>
  <si>
    <t>Rue François-Joseph Navez, 114 - 1000 Bruxelles</t>
  </si>
  <si>
    <t>car wash + parking extérieur pour aspirateur - une dizaine de places potentielles mais pas exploitable maintenant (zone de travail)</t>
  </si>
  <si>
    <t>Rue François-Joseph Navez, 92 - 1000 Bruxelles</t>
  </si>
  <si>
    <t>chantier en cours pour un immeuble de 32 logements</t>
  </si>
  <si>
    <t>Boulevard Lambermont, 65 - 1030 Schaerbeek</t>
  </si>
  <si>
    <t>Rue Léopold Courouble, 24 - 1030 Schaerbeek</t>
  </si>
  <si>
    <t>Avenue Voltaire, 52 - 1030 Schaerbeek</t>
  </si>
  <si>
    <t>projet en cours de construction</t>
  </si>
  <si>
    <t>Avenue Voltaire, 66-82 - 1030 Schaerbeek</t>
  </si>
  <si>
    <t>projet en cours - pas de point adresse</t>
  </si>
  <si>
    <t>Rue Stephenson, 34 - 1000 Bruxelles</t>
  </si>
  <si>
    <t>maison de repos = parking ouvert intéressant mais hors SCH</t>
  </si>
  <si>
    <t>rapport_Ph3_405</t>
  </si>
  <si>
    <t>rapport_Ph4_405</t>
  </si>
  <si>
    <t>Rue Van Oost, 36 - 1030 Schaerbeek</t>
  </si>
  <si>
    <t>Rue François-Joseph Navez, 84 - 1000 Bruxelles</t>
  </si>
  <si>
    <t>Rue François-Joseph Navez, 88 - 1000 Bruxelles</t>
  </si>
  <si>
    <t>Rue d'Anethan, 50 - 1030 Schaerbeek</t>
  </si>
  <si>
    <t>Rue de Jérusalem, 52 - 1030 Schaerbeek</t>
  </si>
  <si>
    <t>confirmé par NOVAC PE - projet en cours = atelier communal</t>
  </si>
  <si>
    <t>atelier communal - projet en cours</t>
  </si>
  <si>
    <t>rapport_Ph3_396</t>
  </si>
  <si>
    <t>Avenue Voltaire, 175 - 1030 Schaerbeek</t>
  </si>
  <si>
    <t>Avenue Voltaire, 153 - 1030 Schaerbeek</t>
  </si>
  <si>
    <t>Rue de Jérusalem, 36 - 1030 Schaerbeek</t>
  </si>
  <si>
    <t>bureau = accessoire donc pas visé par COBRACE - non contacté BePark</t>
  </si>
  <si>
    <t>non contacté par BP</t>
  </si>
  <si>
    <t>rapport_Ph3_399</t>
  </si>
  <si>
    <t>rapport_Ph4_399</t>
  </si>
  <si>
    <t>Chaussée de Haecht, 482 - 1030 Schaerbeek</t>
  </si>
  <si>
    <t>Avenue Voltaire, 83A - 1030 Schaerbeek</t>
  </si>
  <si>
    <t>seulement PACS mais visible sur l'ortho - nb = ortho</t>
  </si>
  <si>
    <t>Rue du Pavillon, 7 - 1105 Schaerbeek</t>
  </si>
  <si>
    <t>immeuble de bureau en cours de transformation en logements</t>
  </si>
  <si>
    <t>Rue du Pavillon, 5 - 1030 Schaerbeek</t>
  </si>
  <si>
    <t>Garagiste ( magasin pneu 650 m²) - potentiel pour parking &gt; 10 places mais pas exploitable maintenant (zone de travail)</t>
  </si>
  <si>
    <t>Chaussée de Haecht, 327 - 1030 Schaerbeek</t>
  </si>
  <si>
    <t>dépôt STIB - air libre (42) + couvert (14)</t>
  </si>
  <si>
    <t>dépôt STIB</t>
  </si>
  <si>
    <t>Rue des Ailes, 10 - 1030 Schaerbeek</t>
  </si>
  <si>
    <t>Rue Goossens, 17 - 1030 Schaerbeek</t>
  </si>
  <si>
    <t>Avenue Maréchal Foch, 59 - 1030 Schaerbeek</t>
  </si>
  <si>
    <t>Avenue Louis Bertrand, 98 - 1030 Schaerbeek</t>
  </si>
  <si>
    <t>couvert (157) + ouvert (16)</t>
  </si>
  <si>
    <t>Avenue Voltaire, 181 - 1030 Schaerbeek</t>
  </si>
  <si>
    <t>Rue Jolly, 141 - 1030 Schaerbeek</t>
  </si>
  <si>
    <t>appart - hôtel - quelques places sont louées à des camionettes</t>
  </si>
  <si>
    <t>rapport_Ph3_444</t>
  </si>
  <si>
    <t>rapport_Ph4_444</t>
  </si>
  <si>
    <t>Boulevard du Roi Albert II, 51 - 1030 Schaerbeek</t>
  </si>
  <si>
    <t>Rue du Progrès, 231 - 1030 Schaerbeek</t>
  </si>
  <si>
    <t>Info service PE Schaerbeek</t>
  </si>
  <si>
    <t>Géré par BNP - commun au 231 Progrès et 88 Gaucheret- non contacté BePark</t>
  </si>
  <si>
    <t>Chaussée de Haecht, 678 - 1030 Schaerbeek</t>
  </si>
  <si>
    <t>Avenue Jacques Georgin, 15 - 1030 Schaerbeek</t>
  </si>
  <si>
    <t>Concessionnaire - chiffres = taxes - PE = 90(ouvert)+12(couvert) + 69(neufs)+70(usagers)</t>
  </si>
  <si>
    <t>Rue Henri Evenepoel, 102 - 1030 Schaerbeek</t>
  </si>
  <si>
    <t>Projet en cours de construction</t>
  </si>
  <si>
    <t>Avenue Jacques Georgin, 2 - 1030 Schaerbeek</t>
  </si>
  <si>
    <t>RTL</t>
  </si>
  <si>
    <t>Rue Colonel Bourg, 118 - 1140 Evere</t>
  </si>
  <si>
    <t>controle technique et espace à côté ne sert plus aux manoeuvres - nb places estimé</t>
  </si>
  <si>
    <t>Rue Josaphat, 244 - 1030 Schaerbeek</t>
  </si>
  <si>
    <t>parking du commerce de décoration voisin mais depuis 2022 semble être devenu de l'exploitation commerciale de P : à vérifier</t>
  </si>
  <si>
    <t>Rue Masui, 216 - 1030 Schaerbeek</t>
  </si>
  <si>
    <t>Avenue de la Reine, 141 - 1030 Schaerbeek</t>
  </si>
  <si>
    <t>Rue Masui, 139 - 1030 Schaerbeek</t>
  </si>
  <si>
    <t>Garagiste avec parc de stationnement couvert selon PE</t>
  </si>
  <si>
    <t>Avenue de la Reine, 92 - 1030 Schaerbeek</t>
  </si>
  <si>
    <t>fonds du logement</t>
  </si>
  <si>
    <t>Avenue Philippe Thomas, 2 - 1030 Schaerbeek</t>
  </si>
  <si>
    <t>Rue Jolly, 148 - 1030 Schaerbeek</t>
  </si>
  <si>
    <t>Rue Jolly, 183 - 1030 Schaerbeek</t>
  </si>
  <si>
    <t>fonction dépôts véhicules usagers - ouvert (18) + couvert (6)</t>
  </si>
  <si>
    <t>dépôt véhicules usagers - intéressant ??</t>
  </si>
  <si>
    <t>Rue Waelhem, 81 - 1030 Schaerbeek</t>
  </si>
  <si>
    <t>Rue Waelhem, 77 - 1030 Schaerbeek</t>
  </si>
  <si>
    <t>rapport_Ph4_429</t>
  </si>
  <si>
    <t>Rue Waelhem, 67 - 1030 Schaerbeek</t>
  </si>
  <si>
    <t>dépot communal pour le moment pas vraiment de places mais potentiel intéressant</t>
  </si>
  <si>
    <t>Rue des Coteaux, 249 - 1030 Schaerbeek</t>
  </si>
  <si>
    <t>rapport_Ph3_431</t>
  </si>
  <si>
    <t>Rue Kessels, 14 - 1030 Schaerbeek</t>
  </si>
  <si>
    <t>ouvert (14) + couvert (24)</t>
  </si>
  <si>
    <t>Rue Kessels, 20 - 1030 Schaerbeek</t>
  </si>
  <si>
    <t>Rue Kessels, 40 - 1030 Schaerbeek</t>
  </si>
  <si>
    <t>Rue Kessels, 52 - 1030 Schaerbeek</t>
  </si>
  <si>
    <t>Rue Waelhem, 78 - 1030 Schaerbeek</t>
  </si>
  <si>
    <t>Rue Waelhem, 86 - 1030 Schaerbeek</t>
  </si>
  <si>
    <t>Rue Waelhem, 102 - 1030 Schaerbeek</t>
  </si>
  <si>
    <t>Rue Waelhem, 110 - 1030 Schaerbeek</t>
  </si>
  <si>
    <t>Rue Waelhem, 122 - 1030 Schaerbeek</t>
  </si>
  <si>
    <t>seulement PACS mais visible sur l'ortho - pas de point adresse</t>
  </si>
  <si>
    <t>Chaussée de Helmet, 83 - 1030 Schaerbeek</t>
  </si>
  <si>
    <t>Rue Jacques Rayé, 53 - 1030 Schaerbeek</t>
  </si>
  <si>
    <t>projet en cours - PU délivré - parking commun aux deux immeubles (côté Helmet et Rayé)</t>
  </si>
  <si>
    <t>Rue Jacques Rayé, 39 - 1030 Schaerbeek</t>
  </si>
  <si>
    <t>14 boxes et 11 couverts</t>
  </si>
  <si>
    <t>Clos du Chemin Creux, 6B - 1030 Schaerbeek</t>
  </si>
  <si>
    <t>seulement PACS mais visible sur ortho - résidence service</t>
  </si>
  <si>
    <t>maison de repos</t>
  </si>
  <si>
    <t>Clos du Chemin Creux, 4 - 1030 Schaerbeek</t>
  </si>
  <si>
    <t>couvert (48 dont 40 boxes) + ouvert (11)</t>
  </si>
  <si>
    <t>Clos du Chemin Creux, 1 - 1030 Schaerbeek</t>
  </si>
  <si>
    <t>Avenue Charles Gilisquet, 34 - 1030 Schaerbeek</t>
  </si>
  <si>
    <t>Avenue Gustave Latinis, 137 - 1030 Schaerbeek</t>
  </si>
  <si>
    <t>Avenue Gustave Latinis, 227 - 1030 Schaerbeek</t>
  </si>
  <si>
    <t>Boulevard Lambermont, 462 - 1030 Schaerbeek</t>
  </si>
  <si>
    <t>Boulevard Lambermont, 430 - 1030 Schaerbeek</t>
  </si>
  <si>
    <t>Place Terdelt, 2 - 1030 Schaerbeek</t>
  </si>
  <si>
    <t>n'a pas l'air repris dans le PE - commun aux immeubles - une partie de la propriété est public</t>
  </si>
  <si>
    <t>Avenue des Glycines, 32 - 1030 Schaerbeek</t>
  </si>
  <si>
    <t>Avenue des Glycines, 42 - 1030 Schaerbeek</t>
  </si>
  <si>
    <t>Allée des Freesias, 10 - 1030 Schaerbeek</t>
  </si>
  <si>
    <t>Allée des Freesias, 16 - 1030 Schaerbeek</t>
  </si>
  <si>
    <t>Allée des Freesias, 18 - 1030 Schaerbeek</t>
  </si>
  <si>
    <t>Allée des Freesias, 1 - 1030 Schaerbeek</t>
  </si>
  <si>
    <t>couvert (77) + ouvert (45)</t>
  </si>
  <si>
    <t>Allée des Freesias, 3 - 1030 Schaerbeek</t>
  </si>
  <si>
    <t>ouvert (43) + couvert( 142)</t>
  </si>
  <si>
    <t>Rue du Tilleul, 290 - 1030 Schaerbeek</t>
  </si>
  <si>
    <t>Chaussée de Haecht, 716 - 1030 Schaerbeek</t>
  </si>
  <si>
    <t>Chaussée de Haecht, 720 - 1030 Schaerbeek</t>
  </si>
  <si>
    <t>Rue Jules Destrée, 82 - 1030 Schaerbeek</t>
  </si>
  <si>
    <t>chiffres adapté selon données PU récent reçues de la commune</t>
  </si>
  <si>
    <t>Rue Jean-Baptiste Brems, 2 - 1030 Schaerbeek</t>
  </si>
  <si>
    <t>Place Terdelt, 3 - 1030 Schaerbeek</t>
  </si>
  <si>
    <t>Rue Joseph Wauters, 10 - 1030 Schaerbeek</t>
  </si>
  <si>
    <t>parking commun aux immeubles</t>
  </si>
  <si>
    <t>Avenue Sleeckx, 19 - 1030 Schaerbeek</t>
  </si>
  <si>
    <t>Chaussée de Helmet, 215 - 1030 Schaerbeek</t>
  </si>
  <si>
    <t>Chaussée de Haecht, 616 - 1030 Schaerbeek</t>
  </si>
  <si>
    <t>Garagiste qui a arrêté son commerce</t>
  </si>
  <si>
    <t>Chaussée de Haecht, 582 - 1030 Schaerbeek</t>
  </si>
  <si>
    <t>Garagiste (735 m²) - potentiel pour parking &gt; 10 places mais pas exploitable maintenant (zone de travail)</t>
  </si>
  <si>
    <t>Chaussée de Haecht, 568 - 1030 Schaerbeek</t>
  </si>
  <si>
    <t>projet sur le site pour refaire Brico et des logements avec 124 pl - bureau accessoire au commerce</t>
  </si>
  <si>
    <t>Rue Willem Kuhnen, 63 - 1030 Schaerbeek</t>
  </si>
  <si>
    <t>Rue Adolphe Marbotin, 15 - 1030 Schaerbeek</t>
  </si>
  <si>
    <t>Rue de Genève, 512 - 1140 Evere</t>
  </si>
  <si>
    <t>Boulevard Léopold III, 19 - 1030 Schaerbeek</t>
  </si>
  <si>
    <t>Rue Henri Chomé, 47 - 1030 Schaerbeek</t>
  </si>
  <si>
    <t>Boulevard Léopold III, 13 - 1030 Schaerbeek</t>
  </si>
  <si>
    <t>Rue Paul Hymans, 9 - 1030 Schaerbeek</t>
  </si>
  <si>
    <t>Boulevard Général Wahis, 228 - 1030 Schaerbeek</t>
  </si>
  <si>
    <t>Boulevard Général Wahis, 266 - 1030 Schaerbeek</t>
  </si>
  <si>
    <t>seulement PACS et visible sur l'ortho</t>
  </si>
  <si>
    <t>Chaussée de Louvain, 539 - 1030 Schaerbeek</t>
  </si>
  <si>
    <t>Boulevard Général Wahis, 16A - 1030 Schaerbeek</t>
  </si>
  <si>
    <t>Boulevard Général Wahis, 16G - 1030 Schaerbeek</t>
  </si>
  <si>
    <t>Boulevard Général Wahis, 16F - 1030 Schaerbeek</t>
  </si>
  <si>
    <t>Service PE Schaerbeek + visite service Taxes</t>
  </si>
  <si>
    <t>parking ouvert (149) réservé évenements (102) et camions (14) - parking couvert (35) non utilisé comme tel dans les faits = entrepot - répartition estimée - non contact. BP</t>
  </si>
  <si>
    <t>Boulevard Général Wahis, 16EB - 1030 Schaerbeek</t>
  </si>
  <si>
    <t>Poste - parking a l'air plus grand que 19 places sur la photo aérienne</t>
  </si>
  <si>
    <t>Boulevard Général Wahis, 16EC - 1030 Schaerbeek</t>
  </si>
  <si>
    <t>parking avec véhicules de la poste --&gt; nb selon photo aérienne</t>
  </si>
  <si>
    <t>Boulevard Léopold III, 41 - 1030 Schaerbeek</t>
  </si>
  <si>
    <t>Rue de Genève, 470B - 1030 Schaerbeek</t>
  </si>
  <si>
    <t>visite service Taxe</t>
  </si>
  <si>
    <t>parking sous les immeubles entre l'eglise et le rond-point Courtens</t>
  </si>
  <si>
    <t>Avenue Frans Courtens, 101 - 1030 Schaerbeek</t>
  </si>
  <si>
    <t>Avenue des Jardins, 20 - 1030 Schaerbeek</t>
  </si>
  <si>
    <t>Clos des Artistes, 6 - 1030 Schaerbeek</t>
  </si>
  <si>
    <t>Clos des Fleurs, 5 - 1030 Schaerbeek</t>
  </si>
  <si>
    <t>Boulevard Général Wahis, derrière le 20, Tennis Club Wahis</t>
  </si>
  <si>
    <t>pas de point adresse disponible</t>
  </si>
  <si>
    <t>Avenue des Jardins, 56 - 1030 Schaerbeek</t>
  </si>
  <si>
    <t>couvert (20) - boxes (66) - ouvert (14)</t>
  </si>
  <si>
    <t>Boulevard Léopold III, 54 - 1030 Schaerbeek</t>
  </si>
  <si>
    <t>Avenue des Jardins, 60 - 1030 Schaerbeek</t>
  </si>
  <si>
    <t>inclut les boxs à l'arrière et les parkings ouverts à l'avant</t>
  </si>
  <si>
    <t>Boulevard Général Wahis, 16C - 1030 Schaerbeek</t>
  </si>
  <si>
    <t>10 places autorisées mais dans les fait il y en a plus (parking sur le côté ps pris en compte)</t>
  </si>
  <si>
    <t>Avenue Gustave Latinis, 156 - 1030 Schaerbeek</t>
  </si>
  <si>
    <t>Boulevard Général Wahis, 10 - 1030 Schaerbeek</t>
  </si>
  <si>
    <t>Boulevard Général Wahis, 16 - 1030 Schaerbeek</t>
  </si>
  <si>
    <t>Boulevard Général Wahis, 18 - 1030 Schaerbeek</t>
  </si>
  <si>
    <t>Boulevard Général Wahis, 26 - 1030 Schaerbeek</t>
  </si>
  <si>
    <t>concerne les deux immeubles 22-28</t>
  </si>
  <si>
    <t>Boulevard Général Wahis, 1 - 1030 Schaerbeek</t>
  </si>
  <si>
    <t>Boulevard Général Wahis, 17 - 1030 Schaerbeek</t>
  </si>
  <si>
    <t>pas de PE et donc de dates d'échéance</t>
  </si>
  <si>
    <t>Avenue des Jardins, 5 - 1030 Schaerbeek</t>
  </si>
  <si>
    <t>Avenue Huart Hamoir, 136 - 1030 Schaerbeek</t>
  </si>
  <si>
    <t>Campus Haute Ecole</t>
  </si>
  <si>
    <t>Avenue Huart Hamoir, 124 - 1030 Schaerbeek</t>
  </si>
  <si>
    <t>Avenue Sleeckx, 28 - 1030 Schaerbeek</t>
  </si>
  <si>
    <t>Boulevard Lambermont, 140 - 1030 Schaerbeek</t>
  </si>
  <si>
    <t>répartition entre fonction estimée selon NOVA (17 logements) et BePark (16 résidentiel) + chiffre total = PE</t>
  </si>
  <si>
    <t>rapport_Ph3_28</t>
  </si>
  <si>
    <t>Boulevard Lambermont, 148 - 1030 Schaerbeek</t>
  </si>
  <si>
    <t>Rue Jan Blockx, 14 - 1030 Schaerbeek</t>
  </si>
  <si>
    <t>Selon PE : 24 pl, mais selon PACS : 26 pl</t>
  </si>
  <si>
    <t>Rue Jan Blockx, 26 - 1030 Schaerbeek</t>
  </si>
  <si>
    <t>Immeuble Proximus - repris dans observatoire bureau mais selon fichier taxes= activité de production de services</t>
  </si>
  <si>
    <t>rapport_Ph3_31</t>
  </si>
  <si>
    <t>Avenue Zénobe Gramme, 27 - 1030 Schaerbeek</t>
  </si>
  <si>
    <t>accès se fait par la rue Snieders</t>
  </si>
  <si>
    <t>Avenue Jean Jaurès, 50 - 1030 Schaerbeek</t>
  </si>
  <si>
    <t>24 places selon PE et PACS, 22 selon fichier taxes et BePark- non contacté BePark</t>
  </si>
  <si>
    <t>attention boxes - pas encore contacté BP</t>
  </si>
  <si>
    <t>rapport_Ph3_17</t>
  </si>
  <si>
    <t>rapport_Ph4_17</t>
  </si>
  <si>
    <t>Avenue Zénobe Gramme, 85 - 1030 Schaerbeek</t>
  </si>
  <si>
    <t>Avenue Jean Jaurès, 57 - 1030 Schaerbeek</t>
  </si>
  <si>
    <t>Avenue Huart Hamoir, 76 - 1030 Schaerbeek</t>
  </si>
  <si>
    <t>Rue Chaumontel, 20 - 1030 Schaerbeek</t>
  </si>
  <si>
    <t>Square Apollo, 2 - 1030 Schaerbeek</t>
  </si>
  <si>
    <t>Rue de Jérusalem, 60 - 1030 Schaerbeek</t>
  </si>
  <si>
    <t>Chaussée de Louvain, 650 - 1030 Schaerbeek</t>
  </si>
  <si>
    <t>PU confirme les 154 places</t>
  </si>
  <si>
    <t>Rue François Bossaerts, 60 - 1030 Schaerbeek</t>
  </si>
  <si>
    <t>Rue du Progrès, 80 - 1035 Schaerbeek</t>
  </si>
  <si>
    <t>projet en cours qui modifiera le nb de places</t>
  </si>
  <si>
    <t>Rue Marcel Mariën, 16 - 1030 Schaerbeek</t>
  </si>
  <si>
    <t>Chaussée de Louvain, 550 - 1030 Schaerbeek</t>
  </si>
  <si>
    <t>le PE et PACS mentionne 36 places</t>
  </si>
  <si>
    <t>Rue Colonel Bourg, 5-21 - 1030 Schaerbeek</t>
  </si>
  <si>
    <t>pas de points adresse - PE dit 82 mais BePark confirme que 45</t>
  </si>
  <si>
    <t>Avenue Léon Mahillon, 22 - 1030 Schaerbeek</t>
  </si>
  <si>
    <t>PE renseigne 191 places</t>
  </si>
  <si>
    <t>Rue Van Oost, 46 - 1030 Schaerbeek</t>
  </si>
  <si>
    <t>autre accès rue JF Navez</t>
  </si>
  <si>
    <t>Chaussée de Louvain, 712 - 1030 Schaerbeek</t>
  </si>
  <si>
    <t>Chiffres NOVA (PU) retenus - mutualisation aux numéros 710 (9) et 730 (25)</t>
  </si>
  <si>
    <t>Place des Carabiniers, 18A - 1030 Schaerbeek</t>
  </si>
  <si>
    <t>Rue du Noyer, 284 - 1030 Schaerbeek</t>
  </si>
  <si>
    <t>Chaussée de Louvain, 510 - 1030 Schaerbeek</t>
  </si>
  <si>
    <t>le PE mentionne 115 places</t>
  </si>
  <si>
    <t>Chaussée de Haecht, 579 - 1031 Schaerbeek</t>
  </si>
  <si>
    <t>Maison du Travail</t>
  </si>
  <si>
    <t>Avenue Emile Verhaeren, 84 - 1030 Schaerbeek</t>
  </si>
  <si>
    <t>Delhaize</t>
  </si>
  <si>
    <t>Avenue Albert Giraud, 29 - 1030 Schaerbeek</t>
  </si>
  <si>
    <t>Rue des Coteaux, 50-56 - 1030 Schaerbeek</t>
  </si>
  <si>
    <t>pas de point adresse</t>
  </si>
  <si>
    <t>Rue du Progrès, 187 - 1030 Schaerbeek</t>
  </si>
  <si>
    <t>Rue de l'Agriculture, 46 - 1030 Schaerbeek</t>
  </si>
  <si>
    <t>Rue Auguste Lambiotte, 32 - 1030 Schaerbeek</t>
  </si>
  <si>
    <t>Rue de Jérusalem, 8 - 1030 Schaerbeek</t>
  </si>
  <si>
    <t>Rue Van Dyck, 15 - 1030 Schaerbeek</t>
  </si>
  <si>
    <t>Chaussée de Haecht, 234 - 1030 Schaerbeek</t>
  </si>
  <si>
    <t>administration communale - pas de PE</t>
  </si>
  <si>
    <t>Rue des Palais, 178 - 1030 Schaerbeek</t>
  </si>
  <si>
    <t>Rue Auguste Lambiotte, 54 - 1030 Schaerbeek</t>
  </si>
  <si>
    <t>Jean Titeca</t>
  </si>
  <si>
    <t>Chaussée de Louvain, 467 - 1030 Schaerbeek</t>
  </si>
  <si>
    <t>adrn</t>
  </si>
  <si>
    <t>pn_name_fre</t>
  </si>
  <si>
    <t>pn_name_dut</t>
  </si>
  <si>
    <t>BlockParcel</t>
  </si>
  <si>
    <t>Quartier</t>
  </si>
  <si>
    <t>56</t>
  </si>
  <si>
    <t>Rue Max Roos</t>
  </si>
  <si>
    <t>Max Roosstraat</t>
  </si>
  <si>
    <t>BlockParcel.078</t>
  </si>
  <si>
    <t>Helmet-Hamoir</t>
  </si>
  <si>
    <t>Dehors1030</t>
  </si>
  <si>
    <t>9</t>
  </si>
  <si>
    <t>Rue Nicolas Defrêcheux</t>
  </si>
  <si>
    <t>Nicolas Defrêcheuxstraat</t>
  </si>
  <si>
    <t>BlockParcel.300</t>
  </si>
  <si>
    <t>29</t>
  </si>
  <si>
    <t>Avenue Albert Giraud</t>
  </si>
  <si>
    <t>Albert Giraudlaan</t>
  </si>
  <si>
    <t>BlockParcel.080</t>
  </si>
  <si>
    <t>52</t>
  </si>
  <si>
    <t>Avenue Emile Zola</t>
  </si>
  <si>
    <t>Emile Zolalaan</t>
  </si>
  <si>
    <t>BlockParcel.077</t>
  </si>
  <si>
    <t>39</t>
  </si>
  <si>
    <t>Avenue Sleeckx</t>
  </si>
  <si>
    <t>Sleeckxlaan</t>
  </si>
  <si>
    <t>37</t>
  </si>
  <si>
    <t>11</t>
  </si>
  <si>
    <t>55</t>
  </si>
  <si>
    <t>Avenue Huart Hamoir</t>
  </si>
  <si>
    <t>Huart Hamoirlaan</t>
  </si>
  <si>
    <t>40</t>
  </si>
  <si>
    <t>BlockParcel.303</t>
  </si>
  <si>
    <t>Avenue Colonel Picquart</t>
  </si>
  <si>
    <t>Kolonel Picquartlaan</t>
  </si>
  <si>
    <t>Avenue Georges Rodenbach</t>
  </si>
  <si>
    <t>Georges Rodenbachlaan</t>
  </si>
  <si>
    <t>BlockParcel.304</t>
  </si>
  <si>
    <t>BlockParcel.084</t>
  </si>
  <si>
    <t>70</t>
  </si>
  <si>
    <t>Boulevard Auguste Reyers</t>
  </si>
  <si>
    <t>Auguste Reyerslaan</t>
  </si>
  <si>
    <t>BlockParcel.447</t>
  </si>
  <si>
    <t>Reyers</t>
  </si>
  <si>
    <t>75</t>
  </si>
  <si>
    <t>BlockParcel.388</t>
  </si>
  <si>
    <t>Avenue Zénobe Gramme</t>
  </si>
  <si>
    <t>Zénobe Grammelaan</t>
  </si>
  <si>
    <t>27</t>
  </si>
  <si>
    <t>658</t>
  </si>
  <si>
    <t>Chaussée de Louvain</t>
  </si>
  <si>
    <t>Leuvensesteenweg</t>
  </si>
  <si>
    <t>BlockParcel.409</t>
  </si>
  <si>
    <t>85</t>
  </si>
  <si>
    <t>BlockParcel.183</t>
  </si>
  <si>
    <t>57</t>
  </si>
  <si>
    <t>Avenue Jean Jaurès</t>
  </si>
  <si>
    <t>Jean Jaurèslaan</t>
  </si>
  <si>
    <t>76</t>
  </si>
  <si>
    <t>BlockParcel.141</t>
  </si>
  <si>
    <t>20</t>
  </si>
  <si>
    <t>Rue Chaumontel</t>
  </si>
  <si>
    <t>Chaumontelstraat</t>
  </si>
  <si>
    <t>BlockParcel.385</t>
  </si>
  <si>
    <t>18</t>
  </si>
  <si>
    <t>Rue Van Droogenbroeck</t>
  </si>
  <si>
    <t>Van Droogenbroeckstraat</t>
  </si>
  <si>
    <t>80</t>
  </si>
  <si>
    <t>Rue du Progrès</t>
  </si>
  <si>
    <t>Vooruitgangstraat</t>
  </si>
  <si>
    <t>BlockParcel.307</t>
  </si>
  <si>
    <t>Palais-Reine</t>
  </si>
  <si>
    <t>136</t>
  </si>
  <si>
    <t>BlockParcel.146</t>
  </si>
  <si>
    <t>124</t>
  </si>
  <si>
    <t>84</t>
  </si>
  <si>
    <t>Avenue Emile Verhaeren</t>
  </si>
  <si>
    <t>Emile Verhaerenlaan</t>
  </si>
  <si>
    <t>BlockParcel.370</t>
  </si>
  <si>
    <t>28</t>
  </si>
  <si>
    <t>BlockParcel.151</t>
  </si>
  <si>
    <t>33</t>
  </si>
  <si>
    <t>Boulevard du Roi Albert II</t>
  </si>
  <si>
    <t>Koning Albert II laan</t>
  </si>
  <si>
    <t>BlockParcel.090</t>
  </si>
  <si>
    <t>Nord</t>
  </si>
  <si>
    <t>148</t>
  </si>
  <si>
    <t>Boulevard Lambermont</t>
  </si>
  <si>
    <t>Lambermontlaan</t>
  </si>
  <si>
    <t>BlockParcel.228</t>
  </si>
  <si>
    <t>14</t>
  </si>
  <si>
    <t>Rue Jan Blockx</t>
  </si>
  <si>
    <t>Jan Blockxstraat</t>
  </si>
  <si>
    <t>26</t>
  </si>
  <si>
    <t>21</t>
  </si>
  <si>
    <t>Rue Nestor De Tière</t>
  </si>
  <si>
    <t>Nestor De Tièrestraat</t>
  </si>
  <si>
    <t>BlockParcel.380</t>
  </si>
  <si>
    <t>196</t>
  </si>
  <si>
    <t>BlockParcel.382</t>
  </si>
  <si>
    <t>165</t>
  </si>
  <si>
    <t>Chaussée de Helmet</t>
  </si>
  <si>
    <t>Helmetsesteenweg</t>
  </si>
  <si>
    <t>203</t>
  </si>
  <si>
    <t>217</t>
  </si>
  <si>
    <t>30</t>
  </si>
  <si>
    <t>Square François Riga</t>
  </si>
  <si>
    <t>François Rigasquare</t>
  </si>
  <si>
    <t>19</t>
  </si>
  <si>
    <t>Rue de la Bruyère</t>
  </si>
  <si>
    <t>Heidestraat</t>
  </si>
  <si>
    <t>BlockParcel.369</t>
  </si>
  <si>
    <t>65</t>
  </si>
  <si>
    <t>Rue Fernand Séverin</t>
  </si>
  <si>
    <t>Fernand Séverinstraat</t>
  </si>
  <si>
    <t>BlockParcel.368</t>
  </si>
  <si>
    <t>69</t>
  </si>
  <si>
    <t>132</t>
  </si>
  <si>
    <t>Rue du Tilleul</t>
  </si>
  <si>
    <t>Lindestraat</t>
  </si>
  <si>
    <t>BlockParcel.149</t>
  </si>
  <si>
    <t>238</t>
  </si>
  <si>
    <t>Rue Docteur Elie Lambotte</t>
  </si>
  <si>
    <t>Dokter Elie Lambottestraat</t>
  </si>
  <si>
    <t>Rue du Corbeau</t>
  </si>
  <si>
    <t>Raafstraat</t>
  </si>
  <si>
    <t>17</t>
  </si>
  <si>
    <t>BlockParcel.147</t>
  </si>
  <si>
    <t>156</t>
  </si>
  <si>
    <t>BlockParcel.150</t>
  </si>
  <si>
    <t>23</t>
  </si>
  <si>
    <t>Rue Stijn Streuvels</t>
  </si>
  <si>
    <t>Stijn Streuvelsstraat</t>
  </si>
  <si>
    <t>BlockParcel.112</t>
  </si>
  <si>
    <t>140</t>
  </si>
  <si>
    <t>Rue Richard Vandevelde</t>
  </si>
  <si>
    <t>Richard Vandeveldestraat</t>
  </si>
  <si>
    <t>BlockParcel.113</t>
  </si>
  <si>
    <t>1</t>
  </si>
  <si>
    <t>Square Apollo</t>
  </si>
  <si>
    <t>Apollosquare</t>
  </si>
  <si>
    <t>BlockParcel.379</t>
  </si>
  <si>
    <t>2</t>
  </si>
  <si>
    <t>BlockParcel.171</t>
  </si>
  <si>
    <t>693</t>
  </si>
  <si>
    <t>Chaussée de Haecht</t>
  </si>
  <si>
    <t>Haachtsesteenweg</t>
  </si>
  <si>
    <t>BlockParcel.381</t>
  </si>
  <si>
    <t>Rue de l'Agriculture</t>
  </si>
  <si>
    <t>Landbouwstraat</t>
  </si>
  <si>
    <t>BlockParcel.156</t>
  </si>
  <si>
    <t>46</t>
  </si>
  <si>
    <t>BlockParcel.152</t>
  </si>
  <si>
    <t>176</t>
  </si>
  <si>
    <t>BlockParcel.172</t>
  </si>
  <si>
    <t>149</t>
  </si>
  <si>
    <t>BlockParcel.383</t>
  </si>
  <si>
    <t>96</t>
  </si>
  <si>
    <t>BlockParcel.176</t>
  </si>
  <si>
    <t>126</t>
  </si>
  <si>
    <t>105</t>
  </si>
  <si>
    <t>Rue du Foyer Schaerbeekois</t>
  </si>
  <si>
    <t>Schaarbeekse Haardstraat</t>
  </si>
  <si>
    <t>BlockParcel.175</t>
  </si>
  <si>
    <t>36</t>
  </si>
  <si>
    <t>187</t>
  </si>
  <si>
    <t>BlockParcel.093</t>
  </si>
  <si>
    <t>216</t>
  </si>
  <si>
    <t>Rue Verte</t>
  </si>
  <si>
    <t>Groenstraat</t>
  </si>
  <si>
    <t>BlockParcel.069</t>
  </si>
  <si>
    <t>215</t>
  </si>
  <si>
    <t>616</t>
  </si>
  <si>
    <t>BlockParcel.177</t>
  </si>
  <si>
    <t>Terdelt-Fleur</t>
  </si>
  <si>
    <t>582</t>
  </si>
  <si>
    <t>BlockParcel.180</t>
  </si>
  <si>
    <t>568</t>
  </si>
  <si>
    <t>63</t>
  </si>
  <si>
    <t>Rue Willem Kuhnen</t>
  </si>
  <si>
    <t>Willem Kuhnenstraat</t>
  </si>
  <si>
    <t>BlockParcel.352</t>
  </si>
  <si>
    <t>15</t>
  </si>
  <si>
    <t>Rue Adolphe Marbotin</t>
  </si>
  <si>
    <t>Adolphe Marbotinstraat</t>
  </si>
  <si>
    <t>BlockParcel.179</t>
  </si>
  <si>
    <t>290</t>
  </si>
  <si>
    <t>BlockParcel.342</t>
  </si>
  <si>
    <t>716</t>
  </si>
  <si>
    <t>BlockParcel.114</t>
  </si>
  <si>
    <t>720</t>
  </si>
  <si>
    <t>82</t>
  </si>
  <si>
    <t>Rue Jules Destrée</t>
  </si>
  <si>
    <t>Jules Destréestraat</t>
  </si>
  <si>
    <t>Rue Jean-Baptiste Brems</t>
  </si>
  <si>
    <t>Jean-Baptiste Bremsstraat</t>
  </si>
  <si>
    <t>BlockParcel.351</t>
  </si>
  <si>
    <t>3</t>
  </si>
  <si>
    <t>Place Terdelt</t>
  </si>
  <si>
    <t>Terdeltplein</t>
  </si>
  <si>
    <t>10</t>
  </si>
  <si>
    <t>Rue Joseph Wauters</t>
  </si>
  <si>
    <t>Joseph Wautersstraat</t>
  </si>
  <si>
    <t>BlockParcel.353</t>
  </si>
  <si>
    <t>32</t>
  </si>
  <si>
    <t>Avenue des Glycines</t>
  </si>
  <si>
    <t>Blauweregenlaan</t>
  </si>
  <si>
    <t>BlockParcel.129</t>
  </si>
  <si>
    <t>42</t>
  </si>
  <si>
    <t>Allée des Freesias</t>
  </si>
  <si>
    <t>Freesiadreef</t>
  </si>
  <si>
    <t>BlockParcel.355</t>
  </si>
  <si>
    <t>16</t>
  </si>
  <si>
    <t>BlockParcel.133</t>
  </si>
  <si>
    <t>6B</t>
  </si>
  <si>
    <t>Clos du Chemin Creux</t>
  </si>
  <si>
    <t>Holleweggaarde</t>
  </si>
  <si>
    <t>4</t>
  </si>
  <si>
    <t>BlockParcel.335</t>
  </si>
  <si>
    <t>34</t>
  </si>
  <si>
    <t>Avenue Charles Gilisquet</t>
  </si>
  <si>
    <t>Charles Gilisquetlaan</t>
  </si>
  <si>
    <t>137</t>
  </si>
  <si>
    <t>Avenue Gustave Latinis</t>
  </si>
  <si>
    <t>Gustave Latinislaan</t>
  </si>
  <si>
    <t>BlockParcel.358</t>
  </si>
  <si>
    <t>227</t>
  </si>
  <si>
    <t>BlockParcel.361</t>
  </si>
  <si>
    <t>462</t>
  </si>
  <si>
    <t>430</t>
  </si>
  <si>
    <t>BlockParcel.362</t>
  </si>
  <si>
    <t>BlockParcel.339</t>
  </si>
  <si>
    <t>Jardin</t>
  </si>
  <si>
    <t>Boulevard Général Wahis</t>
  </si>
  <si>
    <t>Generaal Wahislaan</t>
  </si>
  <si>
    <t>BlockParcel.322</t>
  </si>
  <si>
    <t>BlockParcel.338</t>
  </si>
  <si>
    <t>Parc Josaphat</t>
  </si>
  <si>
    <t>Rue Auguste Snieders</t>
  </si>
  <si>
    <t>Auguste Sniedersstraat</t>
  </si>
  <si>
    <t>5</t>
  </si>
  <si>
    <t>Avenue des Jardins</t>
  </si>
  <si>
    <t>Bloemtuinenlaan</t>
  </si>
  <si>
    <t>BlockParcel.105</t>
  </si>
  <si>
    <t>6</t>
  </si>
  <si>
    <t>Clos des Artistes</t>
  </si>
  <si>
    <t>Kunstenaarsgaarde</t>
  </si>
  <si>
    <t>BlockParcel.108</t>
  </si>
  <si>
    <t>Clos des Fleurs</t>
  </si>
  <si>
    <t>Bloemengaarde</t>
  </si>
  <si>
    <t>BlockParcel.097</t>
  </si>
  <si>
    <t>54</t>
  </si>
  <si>
    <t>Boulevard Léopold III</t>
  </si>
  <si>
    <t>Leopold III-laan</t>
  </si>
  <si>
    <t>60</t>
  </si>
  <si>
    <t>Avenue Jacques Georgin</t>
  </si>
  <si>
    <t>Jacques Georginlaan</t>
  </si>
  <si>
    <t>BlockParcel.318</t>
  </si>
  <si>
    <t>BlockParcel.317</t>
  </si>
  <si>
    <t>16G</t>
  </si>
  <si>
    <t>BlockParcel.100</t>
  </si>
  <si>
    <t>Rue Frédéric Pelletier</t>
  </si>
  <si>
    <t>Frédéric Pelletierstraat</t>
  </si>
  <si>
    <t>BlockParcel.396</t>
  </si>
  <si>
    <t>Linthout</t>
  </si>
  <si>
    <t>16EB</t>
  </si>
  <si>
    <t>16EC</t>
  </si>
  <si>
    <t>41</t>
  </si>
  <si>
    <t>BlockParcel.321</t>
  </si>
  <si>
    <t>470B</t>
  </si>
  <si>
    <t>Rue de Genève</t>
  </si>
  <si>
    <t>Genèvestraat</t>
  </si>
  <si>
    <t>BlockParcel.320</t>
  </si>
  <si>
    <t>BlockParcel.096</t>
  </si>
  <si>
    <t>47</t>
  </si>
  <si>
    <t>Rue Henri Chomé</t>
  </si>
  <si>
    <t>Henri Choméstraat</t>
  </si>
  <si>
    <t>BlockParcel.326</t>
  </si>
  <si>
    <t>Rue Paul Hymans</t>
  </si>
  <si>
    <t>Paul Hymansstraat</t>
  </si>
  <si>
    <t>228</t>
  </si>
  <si>
    <t>BlockParcel.327</t>
  </si>
  <si>
    <t>266</t>
  </si>
  <si>
    <t>539</t>
  </si>
  <si>
    <t>557</t>
  </si>
  <si>
    <t>BlockParcel.195</t>
  </si>
  <si>
    <t>558</t>
  </si>
  <si>
    <t>Avenue Fortin</t>
  </si>
  <si>
    <t>Fortinlaan</t>
  </si>
  <si>
    <t>650</t>
  </si>
  <si>
    <t>Rue Colonel Bourg</t>
  </si>
  <si>
    <t>Kolonel Bourgstraat</t>
  </si>
  <si>
    <t>BlockParcel.216</t>
  </si>
  <si>
    <t>662</t>
  </si>
  <si>
    <t>31</t>
  </si>
  <si>
    <t>Rue Jules Lebrun</t>
  </si>
  <si>
    <t>Jules Lebrunstraat</t>
  </si>
  <si>
    <t>BlockParcel.406</t>
  </si>
  <si>
    <t>712</t>
  </si>
  <si>
    <t>770</t>
  </si>
  <si>
    <t>BlockParcel.407</t>
  </si>
  <si>
    <t>BlockParcel.415</t>
  </si>
  <si>
    <t>Rue Henri Evenepoel</t>
  </si>
  <si>
    <t>Henri Evenepoelstraat</t>
  </si>
  <si>
    <t>BlockParcel.443</t>
  </si>
  <si>
    <t>18A</t>
  </si>
  <si>
    <t>Place des Carabiniers</t>
  </si>
  <si>
    <t>Karabiniersplein</t>
  </si>
  <si>
    <t>Avenue Chazal</t>
  </si>
  <si>
    <t>Chazallaan</t>
  </si>
  <si>
    <t>BlockParcel.167</t>
  </si>
  <si>
    <t>Bienfaiteurs</t>
  </si>
  <si>
    <t>144</t>
  </si>
  <si>
    <t>Avenue Eugène Plasky</t>
  </si>
  <si>
    <t>Eugène Plaskylaan</t>
  </si>
  <si>
    <t>BlockParcel.412</t>
  </si>
  <si>
    <t>Plasky</t>
  </si>
  <si>
    <t>BlockParcel.421</t>
  </si>
  <si>
    <t>BlockParcel.446</t>
  </si>
  <si>
    <t>110</t>
  </si>
  <si>
    <t>BlockParcel.445</t>
  </si>
  <si>
    <t>467</t>
  </si>
  <si>
    <t>BlockParcel.197</t>
  </si>
  <si>
    <t>103</t>
  </si>
  <si>
    <t>Rue de l'Orme</t>
  </si>
  <si>
    <t>Olmstraat</t>
  </si>
  <si>
    <t>BlockParcel.208</t>
  </si>
  <si>
    <t>71</t>
  </si>
  <si>
    <t>Avenue de Mars</t>
  </si>
  <si>
    <t>Maartlaan</t>
  </si>
  <si>
    <t>BlockParcel.402</t>
  </si>
  <si>
    <t>Cerisiers</t>
  </si>
  <si>
    <t>Rue William Degouve de Nuncques</t>
  </si>
  <si>
    <t>William Degouve de Nuncquesstraat</t>
  </si>
  <si>
    <t>BlockParcel.191</t>
  </si>
  <si>
    <t>Rue Knapen</t>
  </si>
  <si>
    <t>Knapenstraat</t>
  </si>
  <si>
    <t>BlockParcel.192</t>
  </si>
  <si>
    <t>138</t>
  </si>
  <si>
    <t>122</t>
  </si>
  <si>
    <t>77</t>
  </si>
  <si>
    <t>Rue Waelhem</t>
  </si>
  <si>
    <t>Waelhemstraat</t>
  </si>
  <si>
    <t>BlockParcel.017</t>
  </si>
  <si>
    <t>Colignon</t>
  </si>
  <si>
    <t>25</t>
  </si>
  <si>
    <t>Rue Vergote</t>
  </si>
  <si>
    <t>Vergotestraat</t>
  </si>
  <si>
    <t>7</t>
  </si>
  <si>
    <t>89A</t>
  </si>
  <si>
    <t>Rue de Linthout</t>
  </si>
  <si>
    <t>Linthoutstraat</t>
  </si>
  <si>
    <t>79</t>
  </si>
  <si>
    <t>35</t>
  </si>
  <si>
    <t>BlockParcel.092</t>
  </si>
  <si>
    <t>16D</t>
  </si>
  <si>
    <t>BlockParcel.190</t>
  </si>
  <si>
    <t>8B</t>
  </si>
  <si>
    <t>BlockParcel.104</t>
  </si>
  <si>
    <t>24</t>
  </si>
  <si>
    <t>Rue Victor Lefèvre</t>
  </si>
  <si>
    <t>Victor Lefèvrestraat</t>
  </si>
  <si>
    <t>296</t>
  </si>
  <si>
    <t>Rue du Noyer</t>
  </si>
  <si>
    <t>Notelaarstraat</t>
  </si>
  <si>
    <t>BlockParcel.207</t>
  </si>
  <si>
    <t>284</t>
  </si>
  <si>
    <t>282</t>
  </si>
  <si>
    <t>141</t>
  </si>
  <si>
    <t>Avenue de la Reine</t>
  </si>
  <si>
    <t>Koninginnelaan</t>
  </si>
  <si>
    <t>BlockParcel.285</t>
  </si>
  <si>
    <t>13A</t>
  </si>
  <si>
    <t>Place de Jamblinne de Meux</t>
  </si>
  <si>
    <t>de Jamblinne de Meuxplein</t>
  </si>
  <si>
    <t>BlockParcel.404</t>
  </si>
  <si>
    <t>Avenue de Roodebeek</t>
  </si>
  <si>
    <t>Roodebeeklaan</t>
  </si>
  <si>
    <t>89</t>
  </si>
  <si>
    <t>167</t>
  </si>
  <si>
    <t>181</t>
  </si>
  <si>
    <t>92</t>
  </si>
  <si>
    <t>Rue Général Gratry</t>
  </si>
  <si>
    <t>Generaal Gratrystraat</t>
  </si>
  <si>
    <t>BlockParcel.401</t>
  </si>
  <si>
    <t>Avenue Adolphe Lacomblé</t>
  </si>
  <si>
    <t>Adolphe Lacomblélaan</t>
  </si>
  <si>
    <t>BlockParcel.198</t>
  </si>
  <si>
    <t>12</t>
  </si>
  <si>
    <t>BlockParcel.200</t>
  </si>
  <si>
    <t>168</t>
  </si>
  <si>
    <t>Avenue du Diamant</t>
  </si>
  <si>
    <t>Diamantlaan</t>
  </si>
  <si>
    <t>117</t>
  </si>
  <si>
    <t>Avenue de l'Opale</t>
  </si>
  <si>
    <t>Opaallaan</t>
  </si>
  <si>
    <t>BlockParcel.193</t>
  </si>
  <si>
    <t>50</t>
  </si>
  <si>
    <t>66</t>
  </si>
  <si>
    <t>62</t>
  </si>
  <si>
    <t>22</t>
  </si>
  <si>
    <t>BlockParcel.432</t>
  </si>
  <si>
    <t>Rue Victor Hugo</t>
  </si>
  <si>
    <t>Victor Hugostraat</t>
  </si>
  <si>
    <t>191</t>
  </si>
  <si>
    <t>BlockParcel.430</t>
  </si>
  <si>
    <t>481</t>
  </si>
  <si>
    <t>BlockParcel.205</t>
  </si>
  <si>
    <t>180</t>
  </si>
  <si>
    <t>BlockParcel.417</t>
  </si>
  <si>
    <t>BlockParcel.419</t>
  </si>
  <si>
    <t>160</t>
  </si>
  <si>
    <t>Avenue Emile Max</t>
  </si>
  <si>
    <t>Emile Maxlaan</t>
  </si>
  <si>
    <t>BlockParcel.416</t>
  </si>
  <si>
    <t>146</t>
  </si>
  <si>
    <t>152</t>
  </si>
  <si>
    <t>121</t>
  </si>
  <si>
    <t>Avenue de l'Emeraude</t>
  </si>
  <si>
    <t>Smaragdlaan</t>
  </si>
  <si>
    <t>67</t>
  </si>
  <si>
    <t>64</t>
  </si>
  <si>
    <t>BlockParcel.410</t>
  </si>
  <si>
    <t>58</t>
  </si>
  <si>
    <t>Rue du Saphir</t>
  </si>
  <si>
    <t>Saffierstraat</t>
  </si>
  <si>
    <t>BlockParcel.411</t>
  </si>
  <si>
    <t>206</t>
  </si>
  <si>
    <t>BlockParcel.414</t>
  </si>
  <si>
    <t>574</t>
  </si>
  <si>
    <t>580</t>
  </si>
  <si>
    <t>550</t>
  </si>
  <si>
    <t>BlockParcel.123</t>
  </si>
  <si>
    <t>542</t>
  </si>
  <si>
    <t>164</t>
  </si>
  <si>
    <t>Avenue Milcamps</t>
  </si>
  <si>
    <t>Milcampslaan</t>
  </si>
  <si>
    <t>510</t>
  </si>
  <si>
    <t>231</t>
  </si>
  <si>
    <t>BlockParcel.293</t>
  </si>
  <si>
    <t>102</t>
  </si>
  <si>
    <t>145</t>
  </si>
  <si>
    <t>Avenue Félix Marchal</t>
  </si>
  <si>
    <t>Félix Marchallaan</t>
  </si>
  <si>
    <t>BlockParcel.426</t>
  </si>
  <si>
    <t>16A</t>
  </si>
  <si>
    <t>Rue Victor Oudart</t>
  </si>
  <si>
    <t>Victor Oudartstraat</t>
  </si>
  <si>
    <t>BlockParcel.429</t>
  </si>
  <si>
    <t>Rue Rasson</t>
  </si>
  <si>
    <t>Rassonstraat</t>
  </si>
  <si>
    <t>170</t>
  </si>
  <si>
    <t>BlockParcel.206</t>
  </si>
  <si>
    <t>38</t>
  </si>
  <si>
    <t>BlockParcel.348</t>
  </si>
  <si>
    <t>472</t>
  </si>
  <si>
    <t>BlockParcel.126</t>
  </si>
  <si>
    <t>440</t>
  </si>
  <si>
    <t>BlockParcel.128</t>
  </si>
  <si>
    <t>Place Dailly</t>
  </si>
  <si>
    <t>Daillyplein</t>
  </si>
  <si>
    <t>BlockParcel.215</t>
  </si>
  <si>
    <t>BlockParcel.349</t>
  </si>
  <si>
    <t>Rue Marcel Mariën</t>
  </si>
  <si>
    <t>Marcel Mariënstraat</t>
  </si>
  <si>
    <t>Avenue Charbo</t>
  </si>
  <si>
    <t>Charbolaan</t>
  </si>
  <si>
    <t>Rue Louis Scutenaire</t>
  </si>
  <si>
    <t>Louis Scutenairestraat</t>
  </si>
  <si>
    <t>BlockParcel.425</t>
  </si>
  <si>
    <t>3A</t>
  </si>
  <si>
    <t>Avenue Léon Mahillon</t>
  </si>
  <si>
    <t>Léon Mahillonlaan</t>
  </si>
  <si>
    <t>BlockParcel.214</t>
  </si>
  <si>
    <t>392</t>
  </si>
  <si>
    <t>BlockParcel.436</t>
  </si>
  <si>
    <t>BlockParcel.387</t>
  </si>
  <si>
    <t>473</t>
  </si>
  <si>
    <t>Rue de la Consolation</t>
  </si>
  <si>
    <t>Trooststraat</t>
  </si>
  <si>
    <t>BlockParcel.187</t>
  </si>
  <si>
    <t>53</t>
  </si>
  <si>
    <t>Rue de la Luzerne</t>
  </si>
  <si>
    <t>Luzernestraat</t>
  </si>
  <si>
    <t>BlockParcel.346</t>
  </si>
  <si>
    <t>61</t>
  </si>
  <si>
    <t>423</t>
  </si>
  <si>
    <t>BlockParcel.345</t>
  </si>
  <si>
    <t>Rue Emile Wittmann</t>
  </si>
  <si>
    <t>Emile Wittmannstraat</t>
  </si>
  <si>
    <t>349</t>
  </si>
  <si>
    <t>Avenue Rogier</t>
  </si>
  <si>
    <t>Rogierlaan</t>
  </si>
  <si>
    <t>Rue Auguste Lambiotte</t>
  </si>
  <si>
    <t>Auguste Lambiottestraat</t>
  </si>
  <si>
    <t>BlockParcel.122</t>
  </si>
  <si>
    <t>675</t>
  </si>
  <si>
    <t>381</t>
  </si>
  <si>
    <t>BlockParcel.124</t>
  </si>
  <si>
    <t>Rue Jacques Jansen</t>
  </si>
  <si>
    <t>Jacques Jansenstraat</t>
  </si>
  <si>
    <t>343</t>
  </si>
  <si>
    <t>BlockParcel.434</t>
  </si>
  <si>
    <t>Grande rue au Bois</t>
  </si>
  <si>
    <t>Grote Bosstraat</t>
  </si>
  <si>
    <t>BlockParcel.394</t>
  </si>
  <si>
    <t>214</t>
  </si>
  <si>
    <t>Avenue Dailly</t>
  </si>
  <si>
    <t>Daillylaan</t>
  </si>
  <si>
    <t>93</t>
  </si>
  <si>
    <t>BlockParcel.392</t>
  </si>
  <si>
    <t>130</t>
  </si>
  <si>
    <t>BlockParcel.186</t>
  </si>
  <si>
    <t>Rue François Bossaerts</t>
  </si>
  <si>
    <t>François Bossaertsstraat</t>
  </si>
  <si>
    <t>BlockParcel.119</t>
  </si>
  <si>
    <t>BlockParcel.185</t>
  </si>
  <si>
    <t>243</t>
  </si>
  <si>
    <t>BlockParcel.212</t>
  </si>
  <si>
    <t>233</t>
  </si>
  <si>
    <t>329</t>
  </si>
  <si>
    <t>305</t>
  </si>
  <si>
    <t>Rue Thomas Vinçotte</t>
  </si>
  <si>
    <t>Thomas Vinçottestraat</t>
  </si>
  <si>
    <t>BlockParcel.213</t>
  </si>
  <si>
    <t>68</t>
  </si>
  <si>
    <t>BlockParcel.435</t>
  </si>
  <si>
    <t>Rue Artan</t>
  </si>
  <si>
    <t>Artanstraat</t>
  </si>
  <si>
    <t>115</t>
  </si>
  <si>
    <t>Rue Anatole France</t>
  </si>
  <si>
    <t>Anatole Francestraat</t>
  </si>
  <si>
    <t>BlockParcel.211</t>
  </si>
  <si>
    <t>BlockParcel.238</t>
  </si>
  <si>
    <t>264</t>
  </si>
  <si>
    <t>Avenue Paul Deschanel</t>
  </si>
  <si>
    <t>Paul Deschanellaan</t>
  </si>
  <si>
    <t>Rue André Van Hasselt</t>
  </si>
  <si>
    <t>André Van Hasseltstraat</t>
  </si>
  <si>
    <t>Rue Alexandre Markelbach</t>
  </si>
  <si>
    <t>Alexandre Markelbachstraat</t>
  </si>
  <si>
    <t>BlockParcel.395</t>
  </si>
  <si>
    <t>Rue Eugène Smits</t>
  </si>
  <si>
    <t>Eugène Smitsstraat</t>
  </si>
  <si>
    <t>BlockParcel.391</t>
  </si>
  <si>
    <t>Rue Monrose</t>
  </si>
  <si>
    <t>Monrosestraat</t>
  </si>
  <si>
    <t>BlockParcel.008</t>
  </si>
  <si>
    <t>88</t>
  </si>
  <si>
    <t>BlockParcel.168</t>
  </si>
  <si>
    <t>219</t>
  </si>
  <si>
    <t>139</t>
  </si>
  <si>
    <t>Avenue Ernest Cambier</t>
  </si>
  <si>
    <t>Ernest Cambierlaan</t>
  </si>
  <si>
    <t>BlockParcel.408</t>
  </si>
  <si>
    <t>Rue des Pavots</t>
  </si>
  <si>
    <t>Papaverstraat</t>
  </si>
  <si>
    <t>BlockParcel.344</t>
  </si>
  <si>
    <t>45</t>
  </si>
  <si>
    <t>BlockParcel.378</t>
  </si>
  <si>
    <t>Place de la Patrie</t>
  </si>
  <si>
    <t>Vaderlandsplein</t>
  </si>
  <si>
    <t>BlockParcel.377</t>
  </si>
  <si>
    <t>109</t>
  </si>
  <si>
    <t>44</t>
  </si>
  <si>
    <t>Rue des Chardons</t>
  </si>
  <si>
    <t>Distelsstraat</t>
  </si>
  <si>
    <t>BlockParcel.165</t>
  </si>
  <si>
    <t>151</t>
  </si>
  <si>
    <t>49</t>
  </si>
  <si>
    <t>Rue Henri Stacquet</t>
  </si>
  <si>
    <t>Henri Stacquetstraat</t>
  </si>
  <si>
    <t>BlockParcel.164</t>
  </si>
  <si>
    <t>BlockParcel.204</t>
  </si>
  <si>
    <t>BlockParcel.374</t>
  </si>
  <si>
    <t>Avenue Jan Stobbaerts</t>
  </si>
  <si>
    <t>Jan Stobbaertslaan</t>
  </si>
  <si>
    <t>BlockParcel.163</t>
  </si>
  <si>
    <t>112</t>
  </si>
  <si>
    <t>Rue Josse Impens</t>
  </si>
  <si>
    <t>Josse Impensstraat</t>
  </si>
  <si>
    <t>BlockParcel.376</t>
  </si>
  <si>
    <t>Rue Frans Binjé</t>
  </si>
  <si>
    <t>Frans Binjéstraat</t>
  </si>
  <si>
    <t>Rue Godefroid Devreese</t>
  </si>
  <si>
    <t>Godefroid Devreesestraat</t>
  </si>
  <si>
    <t>BlockParcel.218</t>
  </si>
  <si>
    <t>BlockParcel.157</t>
  </si>
  <si>
    <t>Rue Fontaine d'Amour</t>
  </si>
  <si>
    <t>Minnebronstraat</t>
  </si>
  <si>
    <t>BlockParcel.371</t>
  </si>
  <si>
    <t>Rue Vonck</t>
  </si>
  <si>
    <t>Vonckstraat</t>
  </si>
  <si>
    <t>BlockParcel.027</t>
  </si>
  <si>
    <t>Coteaux-Josaphat</t>
  </si>
  <si>
    <t>106A</t>
  </si>
  <si>
    <t>Rue Verboeckhaven</t>
  </si>
  <si>
    <t>Verboeckhavenstraat</t>
  </si>
  <si>
    <t>BlockParcel.240</t>
  </si>
  <si>
    <t>BlockParcel.048</t>
  </si>
  <si>
    <t>BlockParcel.025</t>
  </si>
  <si>
    <t>BlockParcel.007</t>
  </si>
  <si>
    <t>142</t>
  </si>
  <si>
    <t>173</t>
  </si>
  <si>
    <t>BlockParcel.226</t>
  </si>
  <si>
    <t>120</t>
  </si>
  <si>
    <t>Rue des Coteaux</t>
  </si>
  <si>
    <t>Wijnheuvelenstraat</t>
  </si>
  <si>
    <t>Rue Josaphat</t>
  </si>
  <si>
    <t>Josafatstraat</t>
  </si>
  <si>
    <t>BlockParcel.050</t>
  </si>
  <si>
    <t>Rue Thiéfry</t>
  </si>
  <si>
    <t>Thiéfrystraat</t>
  </si>
  <si>
    <t>195</t>
  </si>
  <si>
    <t>BlockParcel.267</t>
  </si>
  <si>
    <t>129</t>
  </si>
  <si>
    <t>43</t>
  </si>
  <si>
    <t>BlockParcel.264</t>
  </si>
  <si>
    <t>BlockParcel.245</t>
  </si>
  <si>
    <t>200</t>
  </si>
  <si>
    <t>629</t>
  </si>
  <si>
    <t>223</t>
  </si>
  <si>
    <t>BlockParcel.262</t>
  </si>
  <si>
    <t>116</t>
  </si>
  <si>
    <t>BlockParcel.006</t>
  </si>
  <si>
    <t>119</t>
  </si>
  <si>
    <t>256</t>
  </si>
  <si>
    <t>BlockParcel.220</t>
  </si>
  <si>
    <t>BlockParcel.003</t>
  </si>
  <si>
    <t>94</t>
  </si>
  <si>
    <t>Rue Cornet de Grez</t>
  </si>
  <si>
    <t>Cornet de Grezstraat</t>
  </si>
  <si>
    <t>BlockParcel.265</t>
  </si>
  <si>
    <t>101</t>
  </si>
  <si>
    <t>271</t>
  </si>
  <si>
    <t>Rue Royale</t>
  </si>
  <si>
    <t>Koningsstraat</t>
  </si>
  <si>
    <t>Place de la Reine</t>
  </si>
  <si>
    <t>Koninginneplein</t>
  </si>
  <si>
    <t>BlockParcel.043</t>
  </si>
  <si>
    <t>336</t>
  </si>
  <si>
    <t>BlockParcel.053</t>
  </si>
  <si>
    <t>Rue de la Poste</t>
  </si>
  <si>
    <t>Poststraat</t>
  </si>
  <si>
    <t>BlockParcel.310</t>
  </si>
  <si>
    <t>189</t>
  </si>
  <si>
    <t>Rue des Palais</t>
  </si>
  <si>
    <t>Paleizenstraat</t>
  </si>
  <si>
    <t>BlockParcel.305</t>
  </si>
  <si>
    <t>BlockParcel.281</t>
  </si>
  <si>
    <t>Rue de Potter</t>
  </si>
  <si>
    <t>de Potterstraat</t>
  </si>
  <si>
    <t>BlockParcel.072</t>
  </si>
  <si>
    <t>Rue d'Hoogvorst</t>
  </si>
  <si>
    <t>d'Hoogvorststraat</t>
  </si>
  <si>
    <t>BlockParcel.284</t>
  </si>
  <si>
    <t>Rue Rogier</t>
  </si>
  <si>
    <t>Rogierstraat</t>
  </si>
  <si>
    <t>BlockParcel.290</t>
  </si>
  <si>
    <t>59</t>
  </si>
  <si>
    <t>100</t>
  </si>
  <si>
    <t>178</t>
  </si>
  <si>
    <t>BlockParcel.282</t>
  </si>
  <si>
    <t>159</t>
  </si>
  <si>
    <t>BlockParcel.068</t>
  </si>
  <si>
    <t>Rue Gallait</t>
  </si>
  <si>
    <t>Gallaitstraat</t>
  </si>
  <si>
    <t>78</t>
  </si>
  <si>
    <t>Rue Vanderlinden</t>
  </si>
  <si>
    <t>Vanderlindenstraat</t>
  </si>
  <si>
    <t>BlockParcel.040</t>
  </si>
  <si>
    <t>Rue du Pavillon</t>
  </si>
  <si>
    <t>Paviljoenstraat</t>
  </si>
  <si>
    <t>BlockParcel.074</t>
  </si>
  <si>
    <t>327</t>
  </si>
  <si>
    <t>BlockParcel.247</t>
  </si>
  <si>
    <t>Rue des Ailes</t>
  </si>
  <si>
    <t>Vleugelsstraat</t>
  </si>
  <si>
    <t>BlockParcel.237</t>
  </si>
  <si>
    <t>Rue Goossens</t>
  </si>
  <si>
    <t>Goossensstraat</t>
  </si>
  <si>
    <t>BlockParcel.058</t>
  </si>
  <si>
    <t>Avenue Maréchal Foch</t>
  </si>
  <si>
    <t>Maarschalk Fochlaan</t>
  </si>
  <si>
    <t>BlockParcel.254</t>
  </si>
  <si>
    <t>98</t>
  </si>
  <si>
    <t>Avenue Louis Bertrand</t>
  </si>
  <si>
    <t>Louis Bertrandlaan</t>
  </si>
  <si>
    <t>BlockParcel.222</t>
  </si>
  <si>
    <t>Avenue Voltaire</t>
  </si>
  <si>
    <t>Voltairelaan</t>
  </si>
  <si>
    <t>Rue de Jérusalem</t>
  </si>
  <si>
    <t>Jerusalemstraat</t>
  </si>
  <si>
    <t>175</t>
  </si>
  <si>
    <t>153</t>
  </si>
  <si>
    <t>8</t>
  </si>
  <si>
    <t>BlockParcel.016</t>
  </si>
  <si>
    <t>482</t>
  </si>
  <si>
    <t>83A</t>
  </si>
  <si>
    <t>BlockParcel.231</t>
  </si>
  <si>
    <t>BlockParcel.235</t>
  </si>
  <si>
    <t>Rue Van Oost</t>
  </si>
  <si>
    <t>Van Ooststraat</t>
  </si>
  <si>
    <t>BlockParcel.257</t>
  </si>
  <si>
    <t>BlockParcel.251</t>
  </si>
  <si>
    <t>Rue Portaels</t>
  </si>
  <si>
    <t>Portaelsstraat</t>
  </si>
  <si>
    <t>BlockParcel.302</t>
  </si>
  <si>
    <t>BlockParcel.037</t>
  </si>
  <si>
    <t>Avenue Princesse Elisabeth</t>
  </si>
  <si>
    <t>Prinses Elisabethlaan</t>
  </si>
  <si>
    <t>134</t>
  </si>
  <si>
    <t>BlockParcel.082</t>
  </si>
  <si>
    <t>BlockParcel.023</t>
  </si>
  <si>
    <t>Rue Léopold Courouble</t>
  </si>
  <si>
    <t>Léopold Couroublestraat</t>
  </si>
  <si>
    <t>BlockParcel.232</t>
  </si>
  <si>
    <t>86</t>
  </si>
  <si>
    <t>83</t>
  </si>
  <si>
    <t>Rue Jacques Rayé</t>
  </si>
  <si>
    <t>Jacques Rayéstraat</t>
  </si>
  <si>
    <t>BlockParcel.173</t>
  </si>
  <si>
    <t>81</t>
  </si>
  <si>
    <t>Avenue des Cerisiers</t>
  </si>
  <si>
    <t>Kerselarenlaan</t>
  </si>
  <si>
    <t>249</t>
  </si>
  <si>
    <t>BlockParcel.012</t>
  </si>
  <si>
    <t>Rue Kessels</t>
  </si>
  <si>
    <t>Kesselsstraat</t>
  </si>
  <si>
    <t>244</t>
  </si>
  <si>
    <t>Rue Masui</t>
  </si>
  <si>
    <t>Masuistraat</t>
  </si>
  <si>
    <t>BlockParcel.286</t>
  </si>
  <si>
    <t>BlockParcel.291</t>
  </si>
  <si>
    <t>BlockParcel.287</t>
  </si>
  <si>
    <t>Avenue Philippe Thomas</t>
  </si>
  <si>
    <t>Philippe Thomaslaan</t>
  </si>
  <si>
    <t>BlockParcel.288</t>
  </si>
  <si>
    <t>Rue Jolly</t>
  </si>
  <si>
    <t>Jollystraat</t>
  </si>
  <si>
    <t>BlockParcel.094</t>
  </si>
  <si>
    <t>183</t>
  </si>
  <si>
    <t>BlockParcel.314</t>
  </si>
  <si>
    <t>51</t>
  </si>
  <si>
    <t>678</t>
  </si>
  <si>
    <t>BlockParcel.178</t>
  </si>
  <si>
    <t>BlockParcel.444</t>
  </si>
  <si>
    <t>BlockParcel.448</t>
  </si>
  <si>
    <t>Rue Guido Gezelle</t>
  </si>
  <si>
    <t>Guido Gezellestraat</t>
  </si>
  <si>
    <t>BlockParcel.367</t>
  </si>
  <si>
    <t>330</t>
  </si>
  <si>
    <t>245</t>
  </si>
  <si>
    <t>BlockParcel.155</t>
  </si>
  <si>
    <t>114</t>
  </si>
  <si>
    <t>16C</t>
  </si>
  <si>
    <t>637</t>
  </si>
  <si>
    <t>4A</t>
  </si>
  <si>
    <t>Rue Achille Detienne</t>
  </si>
  <si>
    <t>Achille Detiennestraat</t>
  </si>
  <si>
    <t>Avenue Britsiers</t>
  </si>
  <si>
    <t>Britsierslaan</t>
  </si>
  <si>
    <t>Square Eugène Plasky</t>
  </si>
  <si>
    <t>Eugène Plaskysquare</t>
  </si>
  <si>
    <t>234</t>
  </si>
  <si>
    <t>BlockParcel.031</t>
  </si>
  <si>
    <t>16F</t>
  </si>
  <si>
    <t>579</t>
  </si>
  <si>
    <t>90</t>
  </si>
  <si>
    <t>BlockParcel.089</t>
  </si>
  <si>
    <t>699</t>
  </si>
  <si>
    <t>577</t>
  </si>
  <si>
    <t>Rue L'Olivier</t>
  </si>
  <si>
    <t>140A</t>
  </si>
  <si>
    <t>L'Olivierstraat</t>
  </si>
  <si>
    <t>Avenue Monplaisir</t>
  </si>
  <si>
    <t>Monplaisirlaan</t>
  </si>
  <si>
    <t>Latitude</t>
  </si>
  <si>
    <t>Longitude</t>
  </si>
  <si>
    <t>Mutualisation</t>
  </si>
  <si>
    <t>count</t>
  </si>
  <si>
    <t>total</t>
  </si>
  <si>
    <t>Inconnue</t>
  </si>
  <si>
    <t>Count</t>
  </si>
  <si>
    <t>Type Parking</t>
  </si>
  <si>
    <t>Type Propietaire</t>
  </si>
  <si>
    <t>Mutualise</t>
  </si>
  <si>
    <t>Non Mutualise</t>
  </si>
  <si>
    <t>Refus BePark</t>
  </si>
  <si>
    <t>total mutualisation</t>
  </si>
  <si>
    <t>Parking</t>
  </si>
  <si>
    <t>Connues</t>
  </si>
  <si>
    <t>Propiedad (parking-data.js)</t>
  </si>
  <si>
    <t>Nombre en la cartografía (FR / NL)</t>
  </si>
  <si>
    <t>Utilisation</t>
  </si>
  <si>
    <t>id</t>
  </si>
  <si>
    <t>Adresse/ID / Adres/ID</t>
  </si>
  <si>
    <t>Identifiant interne, utilisé dans la section « Généralités »/« Algemeen »</t>
  </si>
  <si>
    <t>(no mostrado)</t>
  </si>
  <si>
    <t>ID brut du shapefile, non utilisé dans la popup</t>
  </si>
  <si>
    <t xml:space="preserve">(no mostrado) </t>
  </si>
  <si>
    <t>N'apparaît pas dans l'interface. Fonction : Code URBIS de l'adresse</t>
  </si>
  <si>
    <t>N'apparaît pas dans l'interface. Fonction : Numéro de maison</t>
  </si>
  <si>
    <t>Adresse / Adres</t>
  </si>
  <si>
    <t>Adresse du parking</t>
  </si>
  <si>
    <t>Nb. places total / Totaal plaatsen</t>
  </si>
  <si>
    <t>Nombre total de places (détermine aussi la taille du point sur la carte)</t>
  </si>
  <si>
    <t>Dont mutualisés / Waarvan gemutualiseerd</t>
  </si>
  <si>
    <t>Places mutualisées (détermine aussi la couleur en mode « Mutualisation »)</t>
  </si>
  <si>
    <t>N'apparaît pas dans l'interface</t>
  </si>
  <si>
    <t>Type de parking / Type parking</t>
  </si>
  <si>
    <t>Type de parking (définit la couleur en mode « Type ») — valeurs : ouvert, couvert_sous_sol, couvert_hors_sol, boxes_ilot, boxes_front_rue, mix…</t>
  </si>
  <si>
    <t>Résidentiel / Residentieel</t>
  </si>
  <si>
    <t>Fonction : résidentiel</t>
  </si>
  <si>
    <t>Bureaux / Kantoren</t>
  </si>
  <si>
    <t>Fonction : bureaux</t>
  </si>
  <si>
    <t>Commerces / Handel</t>
  </si>
  <si>
    <t>Fonction : commerces</t>
  </si>
  <si>
    <t>Industries / Industrie</t>
  </si>
  <si>
    <t>Fonction : industries</t>
  </si>
  <si>
    <t>Enseignement / Onderwijs</t>
  </si>
  <si>
    <t>Fonction : enseignement</t>
  </si>
  <si>
    <t>Culture / Sport / Cultuur / Sport</t>
  </si>
  <si>
    <t>Fonction : culture/sport</t>
  </si>
  <si>
    <t>Hôtel / Hotel</t>
  </si>
  <si>
    <t>Fonction : hôtel</t>
  </si>
  <si>
    <t>Séniorerie / Seniorenwoning</t>
  </si>
  <si>
    <t>Fonction : résidence pour seniors (séniorerie)</t>
  </si>
  <si>
    <t>Autre équipement / Andere uitrusting</t>
  </si>
  <si>
    <t>Fonction : autre équipement</t>
  </si>
  <si>
    <t>Parking public / Openbaar parking</t>
  </si>
  <si>
    <t>Fonction : parking public</t>
  </si>
  <si>
    <t>N'apparaît pas dans l'interface. Fonction : parking commercial</t>
  </si>
  <si>
    <t>N'apparaît pas dans l'interface. Fonction : parking autres usages</t>
  </si>
  <si>
    <t>Refus BePark / Weigering BePark</t>
  </si>
  <si>
    <t>Indique le refus BePark (détermine aussi la couleur en mode « Mutualisation »)</t>
  </si>
  <si>
    <t>Type de propriétaire / Type eigenaar</t>
  </si>
  <si>
    <t>Type de propriétaire (définit la couleur en mode « Owner ») — valeurs : public/privé</t>
  </si>
  <si>
    <t>Taux de remplissage / Bezettingsgraad</t>
  </si>
  <si>
    <t>Taux d'occupation</t>
  </si>
  <si>
    <t>Zone RRU / Zone RRU</t>
  </si>
  <si>
    <t>Zone RRU</t>
  </si>
  <si>
    <t>COBRACE / COBRACE</t>
  </si>
  <si>
    <t>Numéro COBRACE</t>
  </si>
  <si>
    <t>PE IBGE / PE IBGE</t>
  </si>
  <si>
    <t>Source : PE IBGE</t>
  </si>
  <si>
    <t>PACS / PACS</t>
  </si>
  <si>
    <t>Source : PACS</t>
  </si>
  <si>
    <t>Taxes / Belastingen</t>
  </si>
  <si>
    <t>Source : taxes</t>
  </si>
  <si>
    <t>Ortho / Ortho</t>
  </si>
  <si>
    <t>Source : orthophoto</t>
  </si>
  <si>
    <t>BePark / BePark</t>
  </si>
  <si>
    <t>Source : BePark</t>
  </si>
  <si>
    <t>Autre source / Andere bron</t>
  </si>
  <si>
    <t>Source : autre</t>
  </si>
  <si>
    <t>Remarque / Opmerking</t>
  </si>
  <si>
    <t>Commentaire libre</t>
  </si>
  <si>
    <t>(sin etiqueta directa)</t>
  </si>
  <si>
    <t>Définit la couleur/légende en mode « Highlighted » — valeurs : le10, le50, le100, le500, ge500, unknown</t>
  </si>
  <si>
    <t>N'apparaît pas dans l'interface. Source : nombre total de places non résidentielles</t>
  </si>
  <si>
    <t>N'apparaît pas dans l'interface (semble être le nom de rue FR)</t>
  </si>
  <si>
    <t>N'apparaît pas dans l'interface (semble être le nom de rue NL)</t>
  </si>
  <si>
    <t>PDF 30 places / PDF 30 plaatsen</t>
  </si>
  <si>
    <t>Lien vers un document PDF dans la section « Documents PDF »/« PDF documenten » (js/map.js:127-128, js/map.js:213-214)</t>
  </si>
  <si>
    <t>PDF 10 places / PDF 10 plaatsen</t>
  </si>
  <si>
    <t>Lien vers un document PDF dans la section « Documents PDF »/« PDF documenten » (idem)</t>
  </si>
  <si>
    <t>Permis d'environnement (BE)</t>
  </si>
  <si>
    <t>Données du règlement Taxe</t>
  </si>
  <si>
    <t>Données BePark</t>
  </si>
  <si>
    <t>Données PACS</t>
  </si>
  <si>
    <t>Données Orthophoto</t>
  </si>
  <si>
    <t>Autre</t>
  </si>
  <si>
    <t>Type de propriétaire</t>
  </si>
  <si>
    <t>Taux de remplissage du parking</t>
  </si>
  <si>
    <t>Zone accessibilité du RRU</t>
  </si>
  <si>
    <t>Nombre d'emplacements autorisés selon le COBRACE</t>
  </si>
  <si>
    <t>https://www.google.com/maps/d/viewer?mid=1TkAxufBrlfycXkwtTFGlnGRD3-tKSYV7&amp;ll=50.857693251201084%2C4.390102872385473&amp;z=13</t>
  </si>
  <si>
    <t>Public</t>
  </si>
  <si>
    <t>Privé</t>
  </si>
  <si>
    <t>Inconnu</t>
  </si>
  <si>
    <t>Sites retenus</t>
  </si>
  <si>
    <t>Sites non retenus</t>
  </si>
  <si>
    <t>Exploitation commerciale de parking</t>
  </si>
  <si>
    <t>Mutualisé par BePark</t>
  </si>
  <si>
    <t>Non mutualisé</t>
  </si>
  <si>
    <t>Ouvert</t>
  </si>
  <si>
    <t>Couvert, en sous sol</t>
  </si>
  <si>
    <t>Couvert, hors sol</t>
  </si>
  <si>
    <t>Boxes en ilot</t>
  </si>
  <si>
    <t>Boxes côté rue</t>
  </si>
  <si>
    <t>Mix</t>
  </si>
  <si>
    <t>Type de parking</t>
  </si>
  <si>
    <t>http://offstreet.1030.be/index-fr.html</t>
  </si>
  <si>
    <t>Industries, ateliers, dépots</t>
  </si>
  <si>
    <t>Résidentiel</t>
  </si>
  <si>
    <t>Autre type d'équipements</t>
  </si>
  <si>
    <t>Enseignement</t>
  </si>
  <si>
    <t>Seniorie</t>
  </si>
  <si>
    <t>Hotel</t>
  </si>
  <si>
    <t>Parking Public</t>
  </si>
  <si>
    <t>Equipements culturels &amp; sportifs</t>
  </si>
  <si>
    <t>Mutualisé</t>
  </si>
  <si>
    <t>Avenue Frans Courtens</t>
  </si>
  <si>
    <t>Rue Paul Devigne</t>
  </si>
  <si>
    <t>Rue Van Dyck</t>
  </si>
  <si>
    <t>Rue de Quatrecht</t>
  </si>
  <si>
    <t>Rue Stephenson</t>
  </si>
  <si>
    <t>Rue François-Joseph Navez</t>
  </si>
  <si>
    <t>Rue d'Anethan</t>
  </si>
  <si>
    <t>Place Princesse Elisabeth</t>
  </si>
  <si>
    <t>Frans Courtenslaan</t>
  </si>
  <si>
    <t>Paul Devignestraat</t>
  </si>
  <si>
    <t>Van Dyckstraat</t>
  </si>
  <si>
    <t>Kwatrechtstraat</t>
  </si>
  <si>
    <t>Stephensonstraat</t>
  </si>
  <si>
    <t>François-Joseph Navezstraat</t>
  </si>
  <si>
    <t>Prinses Elisabethplein</t>
  </si>
  <si>
    <t>d'Anethanstraat</t>
  </si>
  <si>
    <t>512</t>
  </si>
  <si>
    <t>13</t>
  </si>
  <si>
    <t>407</t>
  </si>
  <si>
    <t>118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</si>
</sst>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b/>
      <sz val="12"/>
      <name val="Calibri"/>
      <family val="2"/>
    </font>
    <font>
      <sz val="11"/>
      <color rgb="FF474747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 Light"/>
      <family val="2"/>
      <scheme val="maj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3333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BBE0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E1F0"/>
        <bgColor indexed="64"/>
      </patternFill>
    </fill>
    <fill>
      <patternFill patternType="solid">
        <fgColor rgb="FFD7FDE8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rgb="FFE4FFC9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CBAF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0" fillId="0" borderId="3" xfId="0" applyBorder="1" applyAlignment="1">
      <alignment vertical="center"/>
    </xf>
    <xf numFmtId="14" fontId="0" fillId="0" borderId="3" xfId="0" applyNumberForma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vertical="center"/>
    </xf>
    <xf numFmtId="0" fontId="1" fillId="0" borderId="0" xfId="0" applyFont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horizontal="left" vertical="center"/>
    </xf>
    <xf numFmtId="0" fontId="0" fillId="0" borderId="3" xfId="0" quotePrefix="1" applyBorder="1" applyAlignment="1">
      <alignment vertical="center"/>
    </xf>
    <xf numFmtId="0" fontId="5" fillId="0" borderId="3" xfId="0" applyFont="1" applyBorder="1"/>
    <xf numFmtId="0" fontId="6" fillId="5" borderId="2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" fillId="2" borderId="8" xfId="0" applyFont="1" applyFill="1" applyBorder="1" applyAlignment="1">
      <alignment horizontal="left" vertical="center" wrapText="1"/>
    </xf>
    <xf numFmtId="0" fontId="0" fillId="0" borderId="9" xfId="0" applyBorder="1"/>
    <xf numFmtId="0" fontId="0" fillId="0" borderId="10" xfId="0" applyBorder="1"/>
    <xf numFmtId="0" fontId="1" fillId="2" borderId="2" xfId="0" applyFont="1" applyFill="1" applyBorder="1" applyAlignment="1">
      <alignment horizontal="left" vertical="center" wrapText="1"/>
    </xf>
    <xf numFmtId="0" fontId="0" fillId="0" borderId="8" xfId="0" applyBorder="1"/>
    <xf numFmtId="0" fontId="3" fillId="7" borderId="3" xfId="0" applyFont="1" applyFill="1" applyBorder="1" applyAlignment="1">
      <alignment horizontal="right"/>
    </xf>
    <xf numFmtId="0" fontId="3" fillId="6" borderId="3" xfId="0" applyFont="1" applyFill="1" applyBorder="1"/>
    <xf numFmtId="0" fontId="2" fillId="0" borderId="3" xfId="0" applyFont="1" applyBorder="1" applyAlignment="1">
      <alignment horizontal="left" vertical="center" wrapText="1"/>
    </xf>
    <xf numFmtId="0" fontId="0" fillId="13" borderId="3" xfId="0" applyFill="1" applyBorder="1"/>
    <xf numFmtId="0" fontId="0" fillId="12" borderId="3" xfId="0" applyFill="1" applyBorder="1"/>
    <xf numFmtId="0" fontId="0" fillId="11" borderId="3" xfId="0" applyFill="1" applyBorder="1"/>
    <xf numFmtId="0" fontId="0" fillId="8" borderId="3" xfId="0" applyFill="1" applyBorder="1"/>
    <xf numFmtId="0" fontId="0" fillId="10" borderId="3" xfId="0" applyFill="1" applyBorder="1"/>
    <xf numFmtId="0" fontId="0" fillId="9" borderId="3" xfId="0" applyFill="1" applyBorder="1"/>
    <xf numFmtId="0" fontId="0" fillId="0" borderId="12" xfId="0" applyBorder="1"/>
    <xf numFmtId="0" fontId="0" fillId="0" borderId="13" xfId="0" applyBorder="1"/>
    <xf numFmtId="0" fontId="7" fillId="0" borderId="0" xfId="0" applyFont="1" applyAlignment="1">
      <alignment vertical="center"/>
    </xf>
    <xf numFmtId="0" fontId="7" fillId="4" borderId="3" xfId="0" applyFont="1" applyFill="1" applyBorder="1" applyAlignment="1">
      <alignment vertical="center"/>
    </xf>
    <xf numFmtId="0" fontId="7" fillId="15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left" vertical="center" wrapText="1"/>
    </xf>
    <xf numFmtId="0" fontId="0" fillId="0" borderId="3" xfId="0" applyBorder="1"/>
    <xf numFmtId="0" fontId="0" fillId="7" borderId="3" xfId="0" applyFill="1" applyBorder="1" applyAlignment="1">
      <alignment horizontal="right"/>
    </xf>
    <xf numFmtId="0" fontId="0" fillId="0" borderId="3" xfId="0" applyBorder="1" applyAlignment="1">
      <alignment horizontal="right"/>
    </xf>
    <xf numFmtId="0" fontId="2" fillId="0" borderId="3" xfId="0" applyFont="1" applyBorder="1" applyAlignment="1">
      <alignment horizontal="right" vertical="center" wrapText="1"/>
    </xf>
    <xf numFmtId="0" fontId="4" fillId="16" borderId="14" xfId="0" applyFont="1" applyFill="1" applyBorder="1"/>
    <xf numFmtId="0" fontId="4" fillId="16" borderId="2" xfId="0" applyFont="1" applyFill="1" applyBorder="1"/>
    <xf numFmtId="0" fontId="4" fillId="16" borderId="7" xfId="0" applyFont="1" applyFill="1" applyBorder="1"/>
    <xf numFmtId="0" fontId="0" fillId="0" borderId="15" xfId="0" applyBorder="1"/>
    <xf numFmtId="0" fontId="0" fillId="0" borderId="11" xfId="0" applyBorder="1"/>
    <xf numFmtId="0" fontId="8" fillId="0" borderId="3" xfId="0" applyFont="1" applyBorder="1"/>
    <xf numFmtId="0" fontId="8" fillId="0" borderId="11" xfId="0" applyFont="1" applyBorder="1"/>
    <xf numFmtId="0" fontId="0" fillId="17" borderId="15" xfId="0" applyFill="1" applyBorder="1"/>
    <xf numFmtId="0" fontId="8" fillId="17" borderId="15" xfId="0" applyFont="1" applyFill="1" applyBorder="1"/>
    <xf numFmtId="0" fontId="0" fillId="0" borderId="6" xfId="0" applyBorder="1"/>
    <xf numFmtId="0" fontId="9" fillId="0" borderId="3" xfId="0" applyFont="1" applyBorder="1" applyAlignment="1">
      <alignment vertical="center" wrapText="1"/>
    </xf>
    <xf numFmtId="0" fontId="10" fillId="6" borderId="3" xfId="0" applyFont="1" applyFill="1" applyBorder="1"/>
    <xf numFmtId="0" fontId="11" fillId="0" borderId="0" xfId="1"/>
    <xf numFmtId="0" fontId="10" fillId="18" borderId="3" xfId="0" applyFont="1" applyFill="1" applyBorder="1"/>
    <xf numFmtId="0" fontId="12" fillId="0" borderId="3" xfId="0" applyFont="1" applyBorder="1"/>
    <xf numFmtId="0" fontId="0" fillId="13" borderId="3" xfId="0" applyFill="1" applyBorder="1" applyAlignment="1">
      <alignment vertical="center"/>
    </xf>
    <xf numFmtId="0" fontId="0" fillId="0" borderId="0" xfId="0" applyAlignment="1">
      <alignment vertical="center"/>
    </xf>
    <xf numFmtId="49" fontId="0" fillId="0" borderId="3" xfId="0" quotePrefix="1" applyNumberFormat="1" applyBorder="1" applyAlignment="1">
      <alignment vertical="center"/>
    </xf>
    <xf numFmtId="0" fontId="7" fillId="14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74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solid">
          <fgColor indexed="64"/>
          <bgColor theme="5" tint="0.399975585192419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rgb="FFFFFFCD"/>
          <bgColor rgb="FF000000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solid">
          <fgColor indexed="64"/>
          <bgColor theme="5" tint="0.399975585192419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>
          <fgColor indexed="64"/>
          <bgColor theme="5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FFFFCD"/>
      <color rgb="FFFCBAF7"/>
      <color rgb="FFE1F0FF"/>
      <color rgb="FFE4FFC9"/>
      <color rgb="FFEBEBFF"/>
      <color rgb="FFD7FDE8"/>
      <color rgb="FFFFE1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4</xdr:col>
      <xdr:colOff>428940</xdr:colOff>
      <xdr:row>26</xdr:row>
      <xdr:rowOff>126075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91A734-7CC0-E7AD-C559-EA773EA53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381000"/>
          <a:ext cx="2257740" cy="4744112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26</xdr:col>
      <xdr:colOff>515102</xdr:colOff>
      <xdr:row>30</xdr:row>
      <xdr:rowOff>61113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D44614-D9B5-372A-BD16-CDDA808A7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64025" y="190500"/>
          <a:ext cx="5391902" cy="5649113"/>
        </a:xfrm>
        <a:prstGeom prst="rect">
          <a:avLst/>
        </a:prstGeom>
      </xdr:spPr>
    </xdr:pic>
    <xdr:clientData/>
  </xdr:twoCellAnchor>
  <xdr:twoCellAnchor editAs="oneCell">
    <xdr:from>
      <xdr:col>27</xdr:col>
      <xdr:colOff>600075</xdr:colOff>
      <xdr:row>0</xdr:row>
      <xdr:rowOff>161925</xdr:rowOff>
    </xdr:from>
    <xdr:to>
      <xdr:col>36</xdr:col>
      <xdr:colOff>381735</xdr:colOff>
      <xdr:row>32</xdr:row>
      <xdr:rowOff>165960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A1A0848-800D-5D96-F6F3-E83A596EC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050500" y="161925"/>
          <a:ext cx="5268060" cy="61635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161925</xdr:rowOff>
    </xdr:from>
    <xdr:to>
      <xdr:col>3</xdr:col>
      <xdr:colOff>161925</xdr:colOff>
      <xdr:row>4</xdr:row>
      <xdr:rowOff>9525</xdr:rowOff>
    </xdr:to>
    <xdr:sp macro="[0]!Sheet1.CrearGeoJSON_Statisqu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487D354-6E09-4B61-6668-575364D0BCBD}"/>
            </a:ext>
          </a:extLst>
        </xdr:cNvPr>
        <xdr:cNvSpPr/>
      </xdr:nvSpPr>
      <xdr:spPr>
        <a:xfrm>
          <a:off x="733425" y="161925"/>
          <a:ext cx="1847850" cy="609600"/>
        </a:xfrm>
        <a:prstGeom prst="roundRect">
          <a:avLst>
            <a:gd name="adj" fmla="val 36232"/>
          </a:avLst>
        </a:prstGeom>
        <a:solidFill>
          <a:schemeClr val="accent4">
            <a:lumMod val="40000"/>
            <a:lumOff val="6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Fichier GeoJSON </a:t>
          </a:r>
          <a:br>
            <a:rPr lang="en-US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US" sz="1000" b="0">
              <a:solidFill>
                <a:schemeClr val="accent1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with special characters</a:t>
          </a:r>
          <a:endParaRPr lang="en-US" sz="1000" b="0">
            <a:solidFill>
              <a:schemeClr val="accent1">
                <a:lumMod val="75000"/>
              </a:schemeClr>
            </a:solidFill>
            <a:effectLst/>
          </a:endParaRPr>
        </a:p>
      </xdr:txBody>
    </xdr:sp>
    <xdr:clientData/>
  </xdr:twoCellAnchor>
  <xdr:twoCellAnchor>
    <xdr:from>
      <xdr:col>3</xdr:col>
      <xdr:colOff>266700</xdr:colOff>
      <xdr:row>0</xdr:row>
      <xdr:rowOff>171450</xdr:rowOff>
    </xdr:from>
    <xdr:to>
      <xdr:col>3</xdr:col>
      <xdr:colOff>2162175</xdr:colOff>
      <xdr:row>3</xdr:row>
      <xdr:rowOff>171450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146EB3E9-9714-B9DC-4D36-24B060F2DEC9}"/>
            </a:ext>
          </a:extLst>
        </xdr:cNvPr>
        <xdr:cNvSpPr/>
      </xdr:nvSpPr>
      <xdr:spPr>
        <a:xfrm>
          <a:off x="2686050" y="171450"/>
          <a:ext cx="1895475" cy="571500"/>
        </a:xfrm>
        <a:prstGeom prst="leftArrow">
          <a:avLst/>
        </a:prstGeom>
        <a:solidFill>
          <a:srgbClr val="FCBAF7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Créer le fichier de données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152BB5-FFE4-467A-88D1-578EE37CC016}" name="Table2" displayName="Table2" ref="G3:H14" totalsRowShown="0" headerRowDxfId="19" headerRowBorderDxfId="18" tableBorderDxfId="17" totalsRowBorderDxfId="16">
  <autoFilter ref="G3:H14" xr:uid="{9E152BB5-FFE4-467A-88D1-578EE37CC016}"/>
  <sortState xmlns:xlrd2="http://schemas.microsoft.com/office/spreadsheetml/2017/richdata2" ref="G4:H14">
    <sortCondition sortBy="cellColor" ref="G3:G14" dxfId="15"/>
  </sortState>
  <tableColumns count="2">
    <tableColumn id="1" xr3:uid="{B874B492-F970-42C8-91C6-D88D5E8F22BC}" name="Type_parki" dataDxfId="14"/>
    <tableColumn id="2" xr3:uid="{99DD52AF-1891-406A-9794-DBF10C05C6A5}" name="count" dataDxfId="13">
      <calculatedColumnFormula>COUNTIF(parking_data_1030[Type_parki],Table2[[#This Row],[Type_parki]])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076E7CE-234A-4573-9F82-A3844699DAC9}" name="Table3" displayName="Table3" ref="J3:K5" totalsRowShown="0" headerRowDxfId="12" headerRowBorderDxfId="11" tableBorderDxfId="10" totalsRowBorderDxfId="9">
  <autoFilter ref="J3:K5" xr:uid="{D076E7CE-234A-4573-9F82-A3844699DAC9}"/>
  <tableColumns count="2">
    <tableColumn id="1" xr3:uid="{ED800B9B-7E46-4ADA-A842-04157E152DAC}" name="Type_propr" dataDxfId="8"/>
    <tableColumn id="2" xr3:uid="{8DD57253-4F0F-45CC-A95B-3A7F50DD931C}" name="count" dataDxfId="7">
      <calculatedColumnFormula>COUNTIF(parking_data_1030[Type_propr],Table3[[#This Row],[Type_propr]])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EEA0137-6A1E-45C8-A4D4-330777E37366}" name="Table6" displayName="Table6" ref="B2:D47" totalsRowShown="0" headerRowDxfId="6" headerRowBorderDxfId="5" tableBorderDxfId="4" totalsRowBorderDxfId="3">
  <autoFilter ref="B2:D47" xr:uid="{2EEA0137-6A1E-45C8-A4D4-330777E37366}">
    <filterColumn colId="0">
      <filters>
        <filter val="refusBePar"/>
      </filters>
    </filterColumn>
  </autoFilter>
  <sortState xmlns:xlrd2="http://schemas.microsoft.com/office/spreadsheetml/2017/richdata2" ref="B3:D47">
    <sortCondition ref="D2:D47"/>
  </sortState>
  <tableColumns count="3">
    <tableColumn id="1" xr3:uid="{0513118A-DDD0-4017-8712-DC4A6891EFC8}" name="Propiedad (parking-data.js)" dataDxfId="2"/>
    <tableColumn id="2" xr3:uid="{07F861E6-5C59-4111-9D94-A039B425C14F}" name="Nombre en la cartografía (FR / NL)" dataDxfId="1"/>
    <tableColumn id="4" xr3:uid="{3F0BBF09-5EFF-4B95-9600-9227EFCFAB49}" name="Utilisation" dataDxfId="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D42FF3-E69A-4517-80CC-F9AB7F9B62D0}" name="parking_data_1030" displayName="parking_data_1030" ref="B6:AX481" totalsRowShown="0" headerRowDxfId="73" dataDxfId="71" headerRowBorderDxfId="72" tableBorderDxfId="70" totalsRowBorderDxfId="69">
  <autoFilter ref="B6:AX481" xr:uid="{19D42FF3-E69A-4517-80CC-F9AB7F9B62D0}"/>
  <sortState xmlns:xlrd2="http://schemas.microsoft.com/office/spreadsheetml/2017/richdata2" ref="B7:AX481">
    <sortCondition ref="AT6:AT481"/>
  </sortState>
  <tableColumns count="49">
    <tableColumn id="1" xr3:uid="{E1371574-1B25-4789-9F6F-C7E0457DD32A}" name="ID" dataDxfId="68"/>
    <tableColumn id="2" xr3:uid="{B5455B19-EC96-4528-A3DA-9CFD47B64FAB}" name="ID_adr_Urb" dataDxfId="67"/>
    <tableColumn id="3" xr3:uid="{FA8068DE-42D1-4ED6-B201-1E7BA85FE740}" name="ADRESSE" dataDxfId="66"/>
    <tableColumn id="4" xr3:uid="{711D5DF3-59E4-4632-A67B-C6A1BBB6F6C5}" name="Résidenti" dataDxfId="65"/>
    <tableColumn id="5" xr3:uid="{3AF448F8-809A-4D15-BDE7-3074C86467A5}" name="hotel" dataDxfId="64"/>
    <tableColumn id="6" xr3:uid="{4F4F1ECB-FEFD-4C82-9E25-9CA92ADCE4EF}" name="seniorie" dataDxfId="63"/>
    <tableColumn id="7" xr3:uid="{2EB08F4E-B35E-4D00-AD7C-A183300C3AB9}" name="Bureaux" dataDxfId="62"/>
    <tableColumn id="8" xr3:uid="{7B9257B8-197D-4D06-A1C2-38441363C897}" name="Commerces" dataDxfId="61"/>
    <tableColumn id="9" xr3:uid="{684C261F-88F5-45E7-B4AF-508C89B442A1}" name="Industries" dataDxfId="60"/>
    <tableColumn id="10" xr3:uid="{2E4F27AF-7A32-4018-A556-D4C27D7D4627}" name="Enseigneme" dataDxfId="59"/>
    <tableColumn id="11" xr3:uid="{3E889442-AD7E-41A3-BCAF-C40B5F3DD810}" name="Cultu_spor" dataDxfId="58"/>
    <tableColumn id="12" xr3:uid="{71FE1070-C217-43DE-A469-A43F725CCFCB}" name="Autre_equi" dataDxfId="57"/>
    <tableColumn id="13" xr3:uid="{B63B234F-1A3D-4E2F-B7EE-CB1138C1F7D8}" name="Pk_public" dataDxfId="56"/>
    <tableColumn id="14" xr3:uid="{79EDB613-D6EE-4861-8A0F-38DEB65FF1CA}" name="Pk_com" dataDxfId="55"/>
    <tableColumn id="15" xr3:uid="{2C547B6E-15E4-4E3D-A518-80CD70C30ADF}" name="Autres" dataDxfId="54"/>
    <tableColumn id="46" xr3:uid="{C5D5479A-1281-4869-AB22-D36AAAFDE2ED}" name="NB_TOTAL" dataDxfId="53">
      <calculatedColumnFormula>SUM(parking_data_1030[[#This Row],[Résidenti]:[Autres]])</calculatedColumnFormula>
    </tableColumn>
    <tableColumn id="17" xr3:uid="{8558B301-5FBB-4BDD-9EBF-2300F0FBF165}" name="dont_mutua" dataDxfId="52"/>
    <tableColumn id="18" xr3:uid="{C15AB8B1-8725-4869-B942-4148BA28E2A1}" name="dont_mutBP" dataDxfId="51"/>
    <tableColumn id="19" xr3:uid="{271503BE-866D-4B6F-813B-3A910C206742}" name="refusBePar" dataDxfId="50"/>
    <tableColumn id="20" xr3:uid="{E2D34D64-CCEB-48A2-9965-900E1200BB27}" name="Type_parki" dataDxfId="49"/>
    <tableColumn id="21" xr3:uid="{36E3542A-95F9-4303-B408-DA172A867D5D}" name="Type_propr" dataDxfId="48"/>
    <tableColumn id="22" xr3:uid="{8B680929-BE4A-42EB-A02E-705E32EA405B}" name="s_PE_IBGE" dataDxfId="47"/>
    <tableColumn id="23" xr3:uid="{C9358DD6-4496-4482-88D1-9349510C9089}" name="s_PACS" dataDxfId="46"/>
    <tableColumn id="24" xr3:uid="{2E28FD05-F5A0-43BC-A0F8-BC6F819A296C}" name="s_taxes" dataDxfId="45"/>
    <tableColumn id="25" xr3:uid="{A014E7F6-6098-41D0-B411-48435AC1D9B3}" name="s_ortho" dataDxfId="44"/>
    <tableColumn id="26" xr3:uid="{A3B71F92-86DB-414D-971F-B72AB8998BA3}" name="s_BePark" dataDxfId="43"/>
    <tableColumn id="27" xr3:uid="{907A2FB8-AEF2-4915-8798-C69A5B243033}" name="s_autre" dataDxfId="42"/>
    <tableColumn id="28" xr3:uid="{F395631B-EDDA-47CB-A66C-79A539983237}" name="Tx_remplis" dataDxfId="41"/>
    <tableColumn id="29" xr3:uid="{9843C6FD-033D-4586-985A-BFDCB7BFAD33}" name="Echeanc_PE" dataDxfId="40"/>
    <tableColumn id="30" xr3:uid="{E0CAA190-6558-4567-9335-ABF474BE58F4}" name="Zone_RRU" dataDxfId="39"/>
    <tableColumn id="31" xr3:uid="{ADDF9B05-AF93-44D4-8756-FCE215A9A7D7}" name="Sup_bure2" dataDxfId="38"/>
    <tableColumn id="32" xr3:uid="{97C5C187-772A-4666-84BF-E2239E11CB6E}" name="Nb_COBRACE" dataDxfId="37"/>
    <tableColumn id="33" xr3:uid="{9F6A611D-E274-4ADB-9AF0-80B8387F955F}" name="Remarque" dataDxfId="36"/>
    <tableColumn id="34" xr3:uid="{3AEA3946-D487-41AA-867E-8E6B08EDC866}" name="Potentiel" dataDxfId="35"/>
    <tableColumn id="35" xr3:uid="{C4E6A75E-4DAD-4530-B717-4C7A3B7B4AD0}" name="pot_cobrac" dataDxfId="34"/>
    <tableColumn id="36" xr3:uid="{F3FE0D1D-B987-4B6F-B7A7-4FFB34D34EFC}" name="tot_nonres" dataDxfId="33"/>
    <tableColumn id="37" xr3:uid="{EB097B1E-5C99-4BDC-908B-B5253AFC0CBE}" name="REM_30" dataDxfId="32"/>
    <tableColumn id="38" xr3:uid="{5BB2CB74-65BE-4E96-9901-E2E0036196FD}" name="30_FINAL" dataDxfId="31"/>
    <tableColumn id="39" xr3:uid="{46FC2AC0-4512-4A74-90A3-73D82FE888BD}" name="10_FINAL" dataDxfId="30"/>
    <tableColumn id="40" xr3:uid="{5BF957A9-C554-4C2F-843D-4EB537AF8708}" name="30_PDF" dataDxfId="29"/>
    <tableColumn id="41" xr3:uid="{D1195208-65DF-4E5A-99F2-321CED97EB60}" name="10_PDF" dataDxfId="28"/>
    <tableColumn id="42" xr3:uid="{A6E56C9C-F798-4CA3-AB9B-70E0156765AC}" name="deja_inves" dataDxfId="27"/>
    <tableColumn id="43" xr3:uid="{0EA10FB2-37E5-4EEB-9C63-D05504D1EECF}" name="adrn" dataDxfId="26"/>
    <tableColumn id="44" xr3:uid="{9A26DD38-F11E-4592-83F5-18C4F7872480}" name="pn_name_fre" dataDxfId="25"/>
    <tableColumn id="45" xr3:uid="{43606DCB-2273-40E3-8D30-6A4D112B169E}" name="pn_name_dut" dataDxfId="24"/>
    <tableColumn id="48" xr3:uid="{98CB0D7F-9073-4412-99A9-4762D2887EDF}" name="BlockParcel" dataDxfId="23"/>
    <tableColumn id="49" xr3:uid="{62A9FD6B-C39E-4342-95C5-E6EB6CD59DB7}" name="Quartier" dataDxfId="22"/>
    <tableColumn id="52" xr3:uid="{FA6B80EC-83AD-48FD-A8B8-359825462587}" name="Longitude" dataDxfId="21"/>
    <tableColumn id="53" xr3:uid="{0FACFC07-E723-47F8-A571-F1D810ACF1E8}" name="Latitude" dataDxfId="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://offstreet.1030.be/index-fr.html" TargetMode="Externa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61E5-2568-4123-8FB7-C66CC4BB2D2A}">
  <sheetPr codeName="Sheet2"/>
  <dimension ref="G2:Q32"/>
  <sheetViews>
    <sheetView zoomScale="120" workbookViewId="0">
      <selection activeCell="S32" sqref="S32"/>
    </sheetView>
  </sheetViews>
  <sheetFormatPr defaultRowHeight="15" x14ac:dyDescent="0.25"/>
  <cols>
    <col min="7" max="7" width="31.5703125" bestFit="1" customWidth="1"/>
    <col min="8" max="8" width="13.7109375" customWidth="1"/>
    <col min="10" max="10" width="18.140625" bestFit="1" customWidth="1"/>
    <col min="11" max="11" width="9.28515625" bestFit="1" customWidth="1"/>
    <col min="12" max="12" width="3.85546875" customWidth="1"/>
    <col min="13" max="13" width="18.140625" bestFit="1" customWidth="1"/>
    <col min="15" max="15" width="34.140625" bestFit="1" customWidth="1"/>
    <col min="17" max="17" width="34.140625" bestFit="1" customWidth="1"/>
  </cols>
  <sheetData>
    <row r="2" spans="7:17" ht="15.75" x14ac:dyDescent="0.25">
      <c r="O2" s="52" t="s">
        <v>1718</v>
      </c>
      <c r="Q2" s="52" t="s">
        <v>1605</v>
      </c>
    </row>
    <row r="3" spans="7:17" x14ac:dyDescent="0.25">
      <c r="G3" s="16" t="s">
        <v>19</v>
      </c>
      <c r="H3" s="19" t="s">
        <v>1606</v>
      </c>
      <c r="J3" s="16" t="s">
        <v>20</v>
      </c>
      <c r="K3" s="19" t="s">
        <v>1606</v>
      </c>
      <c r="O3" s="37" t="s">
        <v>1712</v>
      </c>
      <c r="Q3" s="37" t="s">
        <v>1704</v>
      </c>
    </row>
    <row r="4" spans="7:17" x14ac:dyDescent="0.25">
      <c r="G4" s="24" t="s">
        <v>110</v>
      </c>
      <c r="H4" s="24">
        <f>COUNTIF(parking_data_1030[Type_parki],Table2[[#This Row],[Type_parki]])</f>
        <v>11</v>
      </c>
      <c r="J4" s="17" t="s">
        <v>45</v>
      </c>
      <c r="K4" s="20">
        <f>COUNTIF(parking_data_1030[Type_propr],Table3[[#This Row],[Type_propr]])</f>
        <v>418</v>
      </c>
      <c r="O4" s="37" t="s">
        <v>1713</v>
      </c>
      <c r="Q4" s="37" t="s">
        <v>1709</v>
      </c>
    </row>
    <row r="5" spans="7:17" x14ac:dyDescent="0.25">
      <c r="G5" s="24" t="s">
        <v>115</v>
      </c>
      <c r="H5" s="24">
        <f>COUNTIF(parking_data_1030[Type_parki],Table2[[#This Row],[Type_parki]])</f>
        <v>11</v>
      </c>
      <c r="J5" s="18" t="s">
        <v>59</v>
      </c>
      <c r="K5" s="18">
        <f>COUNTIF(parking_data_1030[Type_propr],Table3[[#This Row],[Type_propr]])</f>
        <v>57</v>
      </c>
      <c r="O5" s="37" t="s">
        <v>1714</v>
      </c>
      <c r="Q5" s="37" t="s">
        <v>1710</v>
      </c>
    </row>
    <row r="6" spans="7:17" x14ac:dyDescent="0.25">
      <c r="G6" s="24" t="s">
        <v>199</v>
      </c>
      <c r="H6" s="24">
        <f>COUNTIF(parking_data_1030[Type_parki],Table2[[#This Row],[Type_parki]])</f>
        <v>4</v>
      </c>
      <c r="J6" s="21" t="s">
        <v>1607</v>
      </c>
      <c r="K6" s="21">
        <f>SUM(Table3[count])</f>
        <v>475</v>
      </c>
      <c r="O6" s="37" t="s">
        <v>1715</v>
      </c>
      <c r="Q6" s="37" t="s">
        <v>1711</v>
      </c>
    </row>
    <row r="7" spans="7:17" x14ac:dyDescent="0.25">
      <c r="G7" s="24" t="s">
        <v>58</v>
      </c>
      <c r="H7" s="24">
        <f>COUNTIF(parking_data_1030[Type_parki],Table2[[#This Row],[Type_parki]])</f>
        <v>13</v>
      </c>
      <c r="O7" s="37" t="s">
        <v>1716</v>
      </c>
    </row>
    <row r="8" spans="7:17" x14ac:dyDescent="0.25">
      <c r="G8" s="24" t="s">
        <v>307</v>
      </c>
      <c r="H8" s="24">
        <f>COUNTIF(parking_data_1030[Type_parki],Table2[[#This Row],[Type_parki]])</f>
        <v>2</v>
      </c>
      <c r="J8" s="22" t="s">
        <v>1605</v>
      </c>
      <c r="K8" s="22" t="s">
        <v>1609</v>
      </c>
      <c r="O8" s="37" t="s">
        <v>1717</v>
      </c>
    </row>
    <row r="9" spans="7:17" x14ac:dyDescent="0.25">
      <c r="G9" s="24" t="s">
        <v>95</v>
      </c>
      <c r="H9" s="24">
        <f>COUNTIF(parking_data_1030[Type_parki],Table2[[#This Row],[Type_parki]])</f>
        <v>18</v>
      </c>
      <c r="J9" s="23" t="s">
        <v>1612</v>
      </c>
      <c r="K9" s="40">
        <f>COUNTIF(parking_data_1030[dont_mutua], "&gt;0")</f>
        <v>42</v>
      </c>
      <c r="M9" s="35" t="s">
        <v>1615</v>
      </c>
      <c r="O9" s="37" t="s">
        <v>1706</v>
      </c>
    </row>
    <row r="10" spans="7:17" x14ac:dyDescent="0.25">
      <c r="G10" s="25" t="s">
        <v>229</v>
      </c>
      <c r="H10" s="25">
        <f>COUNTIF(parking_data_1030[Type_parki],Table2[[#This Row],[Type_parki]])</f>
        <v>4</v>
      </c>
      <c r="J10" s="23" t="s">
        <v>1613</v>
      </c>
      <c r="K10" s="40">
        <f>COUNTIF(parking_data_1030[dont_mutua], "0")</f>
        <v>433</v>
      </c>
      <c r="M10" s="35">
        <f>SUM(K9:K10)</f>
        <v>475</v>
      </c>
    </row>
    <row r="11" spans="7:17" ht="15.75" x14ac:dyDescent="0.25">
      <c r="G11" s="26" t="s">
        <v>54</v>
      </c>
      <c r="H11" s="26">
        <f>COUNTIF(parking_data_1030[Type_parki],Table2[[#This Row],[Type_parki]])</f>
        <v>98</v>
      </c>
      <c r="J11" s="23" t="s">
        <v>1614</v>
      </c>
      <c r="K11" s="40">
        <f>COUNTIF(parking_data_1030[refusBePar],"OUI")</f>
        <v>15</v>
      </c>
      <c r="O11" s="52" t="s">
        <v>1699</v>
      </c>
      <c r="Q11" s="52" t="s">
        <v>1707</v>
      </c>
    </row>
    <row r="12" spans="7:17" ht="15.75" x14ac:dyDescent="0.25">
      <c r="G12" s="27" t="s">
        <v>44</v>
      </c>
      <c r="H12" s="27">
        <f>COUNTIF(parking_data_1030[Type_parki],Table2[[#This Row],[Type_parki]])</f>
        <v>123</v>
      </c>
      <c r="O12" s="51" t="s">
        <v>1704</v>
      </c>
      <c r="Q12" s="37" t="s">
        <v>1707</v>
      </c>
    </row>
    <row r="13" spans="7:17" ht="15.75" x14ac:dyDescent="0.25">
      <c r="G13" s="28" t="s">
        <v>76</v>
      </c>
      <c r="H13" s="28">
        <f>COUNTIF(parking_data_1030[Type_parki],Table2[[#This Row],[Type_parki]])</f>
        <v>124</v>
      </c>
      <c r="O13" s="51" t="s">
        <v>1705</v>
      </c>
      <c r="Q13" s="37" t="s">
        <v>1708</v>
      </c>
    </row>
    <row r="14" spans="7:17" ht="15.75" x14ac:dyDescent="0.25">
      <c r="G14" s="29" t="s">
        <v>64</v>
      </c>
      <c r="H14" s="29">
        <f>COUNTIF(parking_data_1030[Type_parki],Table2[[#This Row],[Type_parki]])</f>
        <v>67</v>
      </c>
      <c r="J14" s="36" t="s">
        <v>1616</v>
      </c>
      <c r="K14" s="36" t="s">
        <v>1606</v>
      </c>
      <c r="O14" s="51" t="s">
        <v>1706</v>
      </c>
    </row>
    <row r="15" spans="7:17" x14ac:dyDescent="0.25">
      <c r="G15" s="21" t="s">
        <v>1607</v>
      </c>
      <c r="H15" s="38">
        <f>SUM(Table2[count])</f>
        <v>475</v>
      </c>
      <c r="J15" s="23" t="s">
        <v>1608</v>
      </c>
      <c r="K15" s="39">
        <f>COUNTIF(parking_data_1030[NB_TOTAL],0)</f>
        <v>21</v>
      </c>
    </row>
    <row r="16" spans="7:17" x14ac:dyDescent="0.25">
      <c r="J16" s="37" t="s">
        <v>1617</v>
      </c>
      <c r="K16" s="39">
        <f>COUNTIF(parking_data_1030[NB_TOTAL],"&gt;0")</f>
        <v>454</v>
      </c>
      <c r="O16" s="53" t="s">
        <v>1719</v>
      </c>
    </row>
    <row r="17" spans="10:17" x14ac:dyDescent="0.25">
      <c r="J17" s="21" t="s">
        <v>1607</v>
      </c>
      <c r="K17" s="21">
        <f>SUM(K15:K16)</f>
        <v>475</v>
      </c>
    </row>
    <row r="22" spans="10:17" ht="15.75" x14ac:dyDescent="0.25">
      <c r="O22" s="54" t="s">
        <v>1718</v>
      </c>
      <c r="Q22" s="54" t="s">
        <v>1605</v>
      </c>
    </row>
    <row r="23" spans="10:17" x14ac:dyDescent="0.25">
      <c r="O23" s="37" t="s">
        <v>1712</v>
      </c>
      <c r="Q23" s="55" t="s">
        <v>1728</v>
      </c>
    </row>
    <row r="24" spans="10:17" x14ac:dyDescent="0.25">
      <c r="O24" s="37" t="s">
        <v>1713</v>
      </c>
      <c r="Q24" s="55" t="s">
        <v>1614</v>
      </c>
    </row>
    <row r="25" spans="10:17" x14ac:dyDescent="0.25">
      <c r="O25" s="37" t="s">
        <v>1714</v>
      </c>
      <c r="Q25" s="55" t="s">
        <v>1711</v>
      </c>
    </row>
    <row r="26" spans="10:17" x14ac:dyDescent="0.25">
      <c r="O26" s="37" t="s">
        <v>1715</v>
      </c>
    </row>
    <row r="27" spans="10:17" x14ac:dyDescent="0.25">
      <c r="O27" s="37" t="s">
        <v>1716</v>
      </c>
    </row>
    <row r="28" spans="10:17" x14ac:dyDescent="0.25">
      <c r="O28" s="37" t="s">
        <v>1717</v>
      </c>
    </row>
    <row r="30" spans="10:17" ht="15.75" x14ac:dyDescent="0.25">
      <c r="O30" s="54" t="s">
        <v>1699</v>
      </c>
      <c r="Q30" s="54" t="s">
        <v>1707</v>
      </c>
    </row>
    <row r="31" spans="10:17" x14ac:dyDescent="0.25">
      <c r="O31" s="37" t="s">
        <v>1704</v>
      </c>
      <c r="Q31" s="37" t="s">
        <v>1707</v>
      </c>
    </row>
    <row r="32" spans="10:17" x14ac:dyDescent="0.25">
      <c r="O32" s="37" t="s">
        <v>1705</v>
      </c>
      <c r="Q32" s="37" t="s">
        <v>1708</v>
      </c>
    </row>
  </sheetData>
  <hyperlinks>
    <hyperlink ref="O16" r:id="rId1" xr:uid="{81CD21FC-DA24-45E7-8AD4-7CEC61F05AD3}"/>
  </hyperlinks>
  <pageMargins left="0.7" right="0.7" top="0.75" bottom="0.75" header="0.3" footer="0.3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FB59-BE25-412F-966F-06FBE24BB545}">
  <sheetPr codeName="Sheet3"/>
  <dimension ref="B2:G72"/>
  <sheetViews>
    <sheetView workbookViewId="0">
      <selection activeCell="C18" sqref="C18"/>
    </sheetView>
  </sheetViews>
  <sheetFormatPr defaultRowHeight="15" x14ac:dyDescent="0.25"/>
  <cols>
    <col min="2" max="2" width="30.5703125" bestFit="1" customWidth="1"/>
    <col min="3" max="3" width="63.7109375" bestFit="1" customWidth="1"/>
    <col min="4" max="4" width="133" bestFit="1" customWidth="1"/>
  </cols>
  <sheetData>
    <row r="2" spans="2:7" ht="15.75" x14ac:dyDescent="0.25">
      <c r="B2" s="41" t="s">
        <v>1618</v>
      </c>
      <c r="C2" s="42" t="s">
        <v>1619</v>
      </c>
      <c r="D2" s="43" t="s">
        <v>1620</v>
      </c>
    </row>
    <row r="3" spans="2:7" hidden="1" x14ac:dyDescent="0.25">
      <c r="B3" s="44" t="s">
        <v>2</v>
      </c>
      <c r="C3" s="37" t="s">
        <v>1629</v>
      </c>
      <c r="D3" s="45" t="s">
        <v>1630</v>
      </c>
      <c r="G3" t="s">
        <v>1703</v>
      </c>
    </row>
    <row r="4" spans="2:7" hidden="1" x14ac:dyDescent="0.25">
      <c r="B4" s="44" t="s">
        <v>32</v>
      </c>
      <c r="C4" s="37" t="s">
        <v>1682</v>
      </c>
      <c r="D4" s="45" t="s">
        <v>1683</v>
      </c>
    </row>
    <row r="5" spans="2:7" hidden="1" x14ac:dyDescent="0.25">
      <c r="B5" s="44" t="s">
        <v>33</v>
      </c>
      <c r="C5" s="37" t="s">
        <v>1684</v>
      </c>
      <c r="D5" s="45" t="s">
        <v>1685</v>
      </c>
    </row>
    <row r="6" spans="2:7" hidden="1" x14ac:dyDescent="0.25">
      <c r="B6" s="44" t="s">
        <v>11</v>
      </c>
      <c r="C6" s="37" t="s">
        <v>1654</v>
      </c>
      <c r="D6" s="45" t="s">
        <v>1655</v>
      </c>
    </row>
    <row r="7" spans="2:7" hidden="1" x14ac:dyDescent="0.25">
      <c r="B7" s="44" t="s">
        <v>6</v>
      </c>
      <c r="C7" s="37" t="s">
        <v>1640</v>
      </c>
      <c r="D7" s="45" t="s">
        <v>1641</v>
      </c>
    </row>
    <row r="8" spans="2:7" hidden="1" x14ac:dyDescent="0.25">
      <c r="B8" s="44" t="s">
        <v>7</v>
      </c>
      <c r="C8" s="37" t="s">
        <v>1642</v>
      </c>
      <c r="D8" s="45" t="s">
        <v>1643</v>
      </c>
    </row>
    <row r="9" spans="2:7" hidden="1" x14ac:dyDescent="0.25">
      <c r="B9" s="44" t="s">
        <v>10</v>
      </c>
      <c r="C9" s="37" t="s">
        <v>1648</v>
      </c>
      <c r="D9" s="45" t="s">
        <v>1649</v>
      </c>
    </row>
    <row r="10" spans="2:7" hidden="1" x14ac:dyDescent="0.25">
      <c r="B10" s="44" t="s">
        <v>9</v>
      </c>
      <c r="C10" s="37" t="s">
        <v>1646</v>
      </c>
      <c r="D10" s="45" t="s">
        <v>1647</v>
      </c>
    </row>
    <row r="11" spans="2:7" hidden="1" x14ac:dyDescent="0.25">
      <c r="B11" s="44" t="s">
        <v>4</v>
      </c>
      <c r="C11" s="37" t="s">
        <v>1650</v>
      </c>
      <c r="D11" s="45" t="s">
        <v>1651</v>
      </c>
    </row>
    <row r="12" spans="2:7" hidden="1" x14ac:dyDescent="0.25">
      <c r="B12" s="44" t="s">
        <v>8</v>
      </c>
      <c r="C12" s="37" t="s">
        <v>1644</v>
      </c>
      <c r="D12" s="45" t="s">
        <v>1645</v>
      </c>
    </row>
    <row r="13" spans="2:7" hidden="1" x14ac:dyDescent="0.25">
      <c r="B13" s="44" t="s">
        <v>12</v>
      </c>
      <c r="C13" s="37" t="s">
        <v>1656</v>
      </c>
      <c r="D13" s="47" t="s">
        <v>1657</v>
      </c>
    </row>
    <row r="14" spans="2:7" hidden="1" x14ac:dyDescent="0.25">
      <c r="B14" s="44" t="s">
        <v>5</v>
      </c>
      <c r="C14" s="37" t="s">
        <v>1652</v>
      </c>
      <c r="D14" s="45" t="s">
        <v>1653</v>
      </c>
    </row>
    <row r="15" spans="2:7" hidden="1" x14ac:dyDescent="0.25">
      <c r="B15" s="44" t="s">
        <v>3</v>
      </c>
      <c r="C15" s="37" t="s">
        <v>1638</v>
      </c>
      <c r="D15" s="45" t="s">
        <v>1639</v>
      </c>
    </row>
    <row r="16" spans="2:7" hidden="1" x14ac:dyDescent="0.25">
      <c r="B16" s="44" t="s">
        <v>0</v>
      </c>
      <c r="C16" s="37" t="s">
        <v>1624</v>
      </c>
      <c r="D16" s="45" t="s">
        <v>1625</v>
      </c>
    </row>
    <row r="17" spans="2:4" hidden="1" x14ac:dyDescent="0.25">
      <c r="B17" s="44" t="s">
        <v>1621</v>
      </c>
      <c r="C17" s="37" t="s">
        <v>1622</v>
      </c>
      <c r="D17" s="45" t="s">
        <v>1623</v>
      </c>
    </row>
    <row r="18" spans="2:4" x14ac:dyDescent="0.25">
      <c r="B18" s="44" t="s">
        <v>18</v>
      </c>
      <c r="C18" s="37" t="s">
        <v>1660</v>
      </c>
      <c r="D18" s="45" t="s">
        <v>1661</v>
      </c>
    </row>
    <row r="19" spans="2:4" hidden="1" x14ac:dyDescent="0.25">
      <c r="B19" s="44" t="s">
        <v>40</v>
      </c>
      <c r="C19" s="37" t="s">
        <v>1691</v>
      </c>
      <c r="D19" s="45" t="s">
        <v>1692</v>
      </c>
    </row>
    <row r="20" spans="2:4" hidden="1" x14ac:dyDescent="0.25">
      <c r="B20" s="44" t="s">
        <v>39</v>
      </c>
      <c r="C20" s="37" t="s">
        <v>1689</v>
      </c>
      <c r="D20" s="45" t="s">
        <v>1690</v>
      </c>
    </row>
    <row r="21" spans="2:4" hidden="1" x14ac:dyDescent="0.25">
      <c r="B21" s="48" t="s">
        <v>17</v>
      </c>
      <c r="C21" s="37" t="s">
        <v>1624</v>
      </c>
      <c r="D21" s="45" t="s">
        <v>1635</v>
      </c>
    </row>
    <row r="22" spans="2:4" hidden="1" x14ac:dyDescent="0.25">
      <c r="B22" s="48" t="s">
        <v>28</v>
      </c>
      <c r="C22" s="37" t="s">
        <v>1624</v>
      </c>
      <c r="D22" s="45" t="s">
        <v>1635</v>
      </c>
    </row>
    <row r="23" spans="2:4" hidden="1" x14ac:dyDescent="0.25">
      <c r="B23" s="49" t="s">
        <v>34</v>
      </c>
      <c r="C23" s="37" t="s">
        <v>1624</v>
      </c>
      <c r="D23" s="45" t="s">
        <v>1635</v>
      </c>
    </row>
    <row r="24" spans="2:4" hidden="1" x14ac:dyDescent="0.25">
      <c r="B24" s="48" t="s">
        <v>41</v>
      </c>
      <c r="C24" s="37" t="s">
        <v>1624</v>
      </c>
      <c r="D24" s="45" t="s">
        <v>1635</v>
      </c>
    </row>
    <row r="25" spans="2:4" hidden="1" x14ac:dyDescent="0.25">
      <c r="B25" s="48" t="s">
        <v>36</v>
      </c>
      <c r="C25" s="37" t="s">
        <v>1624</v>
      </c>
      <c r="D25" s="45" t="s">
        <v>1635</v>
      </c>
    </row>
    <row r="26" spans="2:4" hidden="1" x14ac:dyDescent="0.25">
      <c r="B26" s="48" t="s">
        <v>37</v>
      </c>
      <c r="C26" s="37" t="s">
        <v>1624</v>
      </c>
      <c r="D26" s="45" t="s">
        <v>1635</v>
      </c>
    </row>
    <row r="27" spans="2:4" hidden="1" x14ac:dyDescent="0.25">
      <c r="B27" s="48" t="s">
        <v>38</v>
      </c>
      <c r="C27" s="37" t="s">
        <v>1624</v>
      </c>
      <c r="D27" s="45" t="s">
        <v>1635</v>
      </c>
    </row>
    <row r="28" spans="2:4" hidden="1" x14ac:dyDescent="0.25">
      <c r="B28" s="44" t="s">
        <v>827</v>
      </c>
      <c r="C28" s="37" t="s">
        <v>1624</v>
      </c>
      <c r="D28" s="47" t="s">
        <v>1687</v>
      </c>
    </row>
    <row r="29" spans="2:4" hidden="1" x14ac:dyDescent="0.25">
      <c r="B29" s="44" t="s">
        <v>828</v>
      </c>
      <c r="C29" s="37" t="s">
        <v>1624</v>
      </c>
      <c r="D29" s="45" t="s">
        <v>1688</v>
      </c>
    </row>
    <row r="30" spans="2:4" hidden="1" x14ac:dyDescent="0.25">
      <c r="B30" s="44" t="s">
        <v>1</v>
      </c>
      <c r="C30" s="46" t="s">
        <v>1626</v>
      </c>
      <c r="D30" s="47" t="s">
        <v>1627</v>
      </c>
    </row>
    <row r="31" spans="2:4" hidden="1" x14ac:dyDescent="0.25">
      <c r="B31" s="44" t="s">
        <v>826</v>
      </c>
      <c r="C31" s="37" t="s">
        <v>1624</v>
      </c>
      <c r="D31" s="47" t="s">
        <v>1628</v>
      </c>
    </row>
    <row r="32" spans="2:4" hidden="1" x14ac:dyDescent="0.25">
      <c r="B32" s="44" t="s">
        <v>14</v>
      </c>
      <c r="C32" s="37" t="s">
        <v>1624</v>
      </c>
      <c r="D32" s="47" t="s">
        <v>1659</v>
      </c>
    </row>
    <row r="33" spans="2:4" hidden="1" x14ac:dyDescent="0.25">
      <c r="B33" s="44" t="s">
        <v>13</v>
      </c>
      <c r="C33" s="37" t="s">
        <v>1624</v>
      </c>
      <c r="D33" s="47" t="s">
        <v>1658</v>
      </c>
    </row>
    <row r="34" spans="2:4" hidden="1" x14ac:dyDescent="0.25">
      <c r="B34" s="44" t="s">
        <v>35</v>
      </c>
      <c r="C34" s="37" t="s">
        <v>1624</v>
      </c>
      <c r="D34" s="47" t="s">
        <v>1686</v>
      </c>
    </row>
    <row r="35" spans="2:4" hidden="1" x14ac:dyDescent="0.25">
      <c r="B35" s="44" t="s">
        <v>15</v>
      </c>
      <c r="C35" s="37" t="s">
        <v>1631</v>
      </c>
      <c r="D35" s="47" t="s">
        <v>1632</v>
      </c>
    </row>
    <row r="36" spans="2:4" hidden="1" x14ac:dyDescent="0.25">
      <c r="B36" s="44" t="s">
        <v>31</v>
      </c>
      <c r="C36" s="37" t="s">
        <v>1668</v>
      </c>
      <c r="D36" s="45" t="s">
        <v>1669</v>
      </c>
    </row>
    <row r="37" spans="2:4" hidden="1" x14ac:dyDescent="0.25">
      <c r="B37" s="44" t="s">
        <v>16</v>
      </c>
      <c r="C37" s="37" t="s">
        <v>1633</v>
      </c>
      <c r="D37" s="45" t="s">
        <v>1634</v>
      </c>
    </row>
    <row r="38" spans="2:4" hidden="1" x14ac:dyDescent="0.25">
      <c r="B38" s="44" t="s">
        <v>26</v>
      </c>
      <c r="C38" s="37" t="s">
        <v>1680</v>
      </c>
      <c r="D38" s="47" t="s">
        <v>1681</v>
      </c>
    </row>
    <row r="39" spans="2:4" hidden="1" x14ac:dyDescent="0.25">
      <c r="B39" s="44" t="s">
        <v>25</v>
      </c>
      <c r="C39" s="37" t="s">
        <v>1678</v>
      </c>
      <c r="D39" s="45" t="s">
        <v>1679</v>
      </c>
    </row>
    <row r="40" spans="2:4" hidden="1" x14ac:dyDescent="0.25">
      <c r="B40" s="44" t="s">
        <v>24</v>
      </c>
      <c r="C40" s="37" t="s">
        <v>1676</v>
      </c>
      <c r="D40" s="45" t="s">
        <v>1677</v>
      </c>
    </row>
    <row r="41" spans="2:4" hidden="1" x14ac:dyDescent="0.25">
      <c r="B41" s="44" t="s">
        <v>22</v>
      </c>
      <c r="C41" s="37" t="s">
        <v>1672</v>
      </c>
      <c r="D41" s="45" t="s">
        <v>1673</v>
      </c>
    </row>
    <row r="42" spans="2:4" hidden="1" x14ac:dyDescent="0.25">
      <c r="B42" s="44" t="s">
        <v>21</v>
      </c>
      <c r="C42" s="37" t="s">
        <v>1670</v>
      </c>
      <c r="D42" s="45" t="s">
        <v>1671</v>
      </c>
    </row>
    <row r="43" spans="2:4" hidden="1" x14ac:dyDescent="0.25">
      <c r="B43" s="44" t="s">
        <v>23</v>
      </c>
      <c r="C43" s="37" t="s">
        <v>1674</v>
      </c>
      <c r="D43" s="45" t="s">
        <v>1675</v>
      </c>
    </row>
    <row r="44" spans="2:4" hidden="1" x14ac:dyDescent="0.25">
      <c r="B44" s="44" t="s">
        <v>27</v>
      </c>
      <c r="C44" s="37" t="s">
        <v>1664</v>
      </c>
      <c r="D44" s="45" t="s">
        <v>1665</v>
      </c>
    </row>
    <row r="45" spans="2:4" hidden="1" x14ac:dyDescent="0.25">
      <c r="B45" s="44" t="s">
        <v>19</v>
      </c>
      <c r="C45" s="37" t="s">
        <v>1636</v>
      </c>
      <c r="D45" s="45" t="s">
        <v>1637</v>
      </c>
    </row>
    <row r="46" spans="2:4" hidden="1" x14ac:dyDescent="0.25">
      <c r="B46" s="44" t="s">
        <v>20</v>
      </c>
      <c r="C46" s="37" t="s">
        <v>1662</v>
      </c>
      <c r="D46" s="45" t="s">
        <v>1663</v>
      </c>
    </row>
    <row r="47" spans="2:4" hidden="1" x14ac:dyDescent="0.25">
      <c r="B47" s="31" t="s">
        <v>29</v>
      </c>
      <c r="C47" s="50" t="s">
        <v>1666</v>
      </c>
      <c r="D47" s="30" t="s">
        <v>1667</v>
      </c>
    </row>
    <row r="50" spans="2:4" x14ac:dyDescent="0.25">
      <c r="B50" s="37" t="s">
        <v>21</v>
      </c>
      <c r="C50" s="37" t="s">
        <v>1693</v>
      </c>
    </row>
    <row r="51" spans="2:4" x14ac:dyDescent="0.25">
      <c r="B51" s="37" t="s">
        <v>22</v>
      </c>
      <c r="C51" s="37" t="s">
        <v>1696</v>
      </c>
    </row>
    <row r="52" spans="2:4" x14ac:dyDescent="0.25">
      <c r="B52" s="37" t="s">
        <v>23</v>
      </c>
      <c r="C52" s="37" t="s">
        <v>1694</v>
      </c>
    </row>
    <row r="53" spans="2:4" x14ac:dyDescent="0.25">
      <c r="B53" s="37" t="s">
        <v>24</v>
      </c>
      <c r="C53" s="37" t="s">
        <v>1697</v>
      </c>
    </row>
    <row r="54" spans="2:4" x14ac:dyDescent="0.25">
      <c r="B54" s="37" t="s">
        <v>25</v>
      </c>
      <c r="C54" s="37" t="s">
        <v>1695</v>
      </c>
    </row>
    <row r="55" spans="2:4" x14ac:dyDescent="0.25">
      <c r="B55" s="37" t="s">
        <v>26</v>
      </c>
      <c r="C55" s="37" t="s">
        <v>1698</v>
      </c>
    </row>
    <row r="57" spans="2:4" x14ac:dyDescent="0.25">
      <c r="B57" s="37" t="s">
        <v>19</v>
      </c>
      <c r="C57" t="s">
        <v>1699</v>
      </c>
    </row>
    <row r="58" spans="2:4" x14ac:dyDescent="0.25">
      <c r="B58" s="37" t="s">
        <v>20</v>
      </c>
      <c r="C58" s="37" t="s">
        <v>1699</v>
      </c>
    </row>
    <row r="59" spans="2:4" x14ac:dyDescent="0.25">
      <c r="B59" s="37" t="s">
        <v>27</v>
      </c>
      <c r="C59" s="37" t="s">
        <v>1700</v>
      </c>
    </row>
    <row r="60" spans="2:4" x14ac:dyDescent="0.25">
      <c r="B60" s="37" t="s">
        <v>29</v>
      </c>
      <c r="C60" s="37" t="s">
        <v>1701</v>
      </c>
    </row>
    <row r="61" spans="2:4" x14ac:dyDescent="0.25">
      <c r="B61" s="37" t="s">
        <v>31</v>
      </c>
      <c r="C61" s="37" t="s">
        <v>1702</v>
      </c>
    </row>
    <row r="63" spans="2:4" x14ac:dyDescent="0.25">
      <c r="B63" s="37" t="s">
        <v>3</v>
      </c>
      <c r="C63" s="37" t="s">
        <v>1639</v>
      </c>
      <c r="D63" t="s">
        <v>1721</v>
      </c>
    </row>
    <row r="64" spans="2:4" x14ac:dyDescent="0.25">
      <c r="B64" s="37" t="s">
        <v>6</v>
      </c>
      <c r="C64" s="37" t="s">
        <v>1641</v>
      </c>
      <c r="D64" t="s">
        <v>6</v>
      </c>
    </row>
    <row r="65" spans="2:4" x14ac:dyDescent="0.25">
      <c r="B65" s="37" t="s">
        <v>7</v>
      </c>
      <c r="C65" s="37" t="s">
        <v>1643</v>
      </c>
      <c r="D65" t="s">
        <v>7</v>
      </c>
    </row>
    <row r="66" spans="2:4" x14ac:dyDescent="0.25">
      <c r="B66" s="37" t="s">
        <v>8</v>
      </c>
      <c r="C66" s="37" t="s">
        <v>1645</v>
      </c>
      <c r="D66" t="s">
        <v>1720</v>
      </c>
    </row>
    <row r="67" spans="2:4" x14ac:dyDescent="0.25">
      <c r="B67" s="37" t="s">
        <v>9</v>
      </c>
      <c r="C67" s="37" t="s">
        <v>1647</v>
      </c>
      <c r="D67" t="s">
        <v>1723</v>
      </c>
    </row>
    <row r="68" spans="2:4" x14ac:dyDescent="0.25">
      <c r="B68" s="37" t="s">
        <v>10</v>
      </c>
      <c r="C68" s="37" t="s">
        <v>1649</v>
      </c>
      <c r="D68" t="s">
        <v>1727</v>
      </c>
    </row>
    <row r="69" spans="2:4" x14ac:dyDescent="0.25">
      <c r="B69" s="37" t="s">
        <v>4</v>
      </c>
      <c r="C69" s="37" t="s">
        <v>1651</v>
      </c>
      <c r="D69" t="s">
        <v>1725</v>
      </c>
    </row>
    <row r="70" spans="2:4" x14ac:dyDescent="0.25">
      <c r="B70" s="37" t="s">
        <v>5</v>
      </c>
      <c r="C70" s="37" t="s">
        <v>1653</v>
      </c>
      <c r="D70" t="s">
        <v>1724</v>
      </c>
    </row>
    <row r="71" spans="2:4" x14ac:dyDescent="0.25">
      <c r="B71" s="37" t="s">
        <v>11</v>
      </c>
      <c r="C71" s="37" t="s">
        <v>1655</v>
      </c>
      <c r="D71" t="s">
        <v>1722</v>
      </c>
    </row>
    <row r="72" spans="2:4" x14ac:dyDescent="0.25">
      <c r="B72" s="37" t="s">
        <v>12</v>
      </c>
      <c r="C72" s="46" t="s">
        <v>1657</v>
      </c>
      <c r="D72" t="s">
        <v>1726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A7ABD-819E-45C1-A0F2-F0E3BAA9CD4F}">
  <sheetPr codeName="Sheet1"/>
  <dimension ref="B5:AX481"/>
  <sheetViews>
    <sheetView tabSelected="1" topLeftCell="P1" workbookViewId="0">
      <selection activeCell="T39" sqref="T39"/>
    </sheetView>
  </sheetViews>
  <sheetFormatPr defaultColWidth="11" defaultRowHeight="15" x14ac:dyDescent="0.25"/>
  <cols>
    <col min="1" max="1" width="11" style="1"/>
    <col min="2" max="2" width="8" style="1" bestFit="1" customWidth="1"/>
    <col min="3" max="3" width="17.28515625" style="1" bestFit="1" customWidth="1"/>
    <col min="4" max="4" width="54.85546875" style="1" bestFit="1" customWidth="1"/>
    <col min="5" max="5" width="12.7109375" style="1" bestFit="1" customWidth="1"/>
    <col min="6" max="6" width="8.7109375" style="1" bestFit="1" customWidth="1"/>
    <col min="7" max="7" width="11.42578125" style="1" bestFit="1" customWidth="1"/>
    <col min="8" max="8" width="11.5703125" style="1" bestFit="1" customWidth="1"/>
    <col min="9" max="9" width="15" style="1" bestFit="1" customWidth="1"/>
    <col min="10" max="10" width="13.5703125" style="1" bestFit="1" customWidth="1"/>
    <col min="11" max="11" width="15.28515625" style="1" bestFit="1" customWidth="1"/>
    <col min="12" max="13" width="14.42578125" style="1" bestFit="1" customWidth="1"/>
    <col min="14" max="14" width="13.140625" style="1" bestFit="1" customWidth="1"/>
    <col min="15" max="15" width="11.28515625" style="1" bestFit="1" customWidth="1"/>
    <col min="16" max="16" width="10" style="1" bestFit="1" customWidth="1"/>
    <col min="17" max="17" width="13.7109375" style="1" bestFit="1" customWidth="1"/>
    <col min="18" max="18" width="16" style="1" bestFit="1" customWidth="1"/>
    <col min="19" max="19" width="16.140625" style="1" bestFit="1" customWidth="1"/>
    <col min="20" max="20" width="14.28515625" style="1" bestFit="1" customWidth="1"/>
    <col min="21" max="21" width="31.5703125" style="1" bestFit="1" customWidth="1"/>
    <col min="22" max="22" width="21.85546875" style="1" bestFit="1" customWidth="1"/>
    <col min="23" max="23" width="13.85546875" style="1" bestFit="1" customWidth="1"/>
    <col min="24" max="24" width="10.7109375" style="1" bestFit="1" customWidth="1"/>
    <col min="25" max="25" width="10.85546875" style="1" bestFit="1" customWidth="1"/>
    <col min="26" max="26" width="11.28515625" style="1" bestFit="1" customWidth="1"/>
    <col min="27" max="27" width="12.5703125" style="1" bestFit="1" customWidth="1"/>
    <col min="28" max="28" width="53.7109375" style="1" bestFit="1" customWidth="1"/>
    <col min="29" max="29" width="14.140625" style="1" bestFit="1" customWidth="1"/>
    <col min="30" max="30" width="15.140625" style="1" bestFit="1" customWidth="1"/>
    <col min="31" max="31" width="13.7109375" style="1" bestFit="1" customWidth="1"/>
    <col min="32" max="32" width="14.28515625" style="1" bestFit="1" customWidth="1"/>
    <col min="33" max="33" width="16.85546875" style="1" bestFit="1" customWidth="1"/>
    <col min="34" max="34" width="162.42578125" style="1" bestFit="1" customWidth="1"/>
    <col min="35" max="35" width="11.5703125" style="1" bestFit="1" customWidth="1"/>
    <col min="36" max="36" width="14.7109375" style="1" bestFit="1" customWidth="1"/>
    <col min="37" max="37" width="14.5703125" style="1" bestFit="1" customWidth="1"/>
    <col min="38" max="38" width="96.28515625" style="1" bestFit="1" customWidth="1"/>
    <col min="39" max="40" width="13" style="1" bestFit="1" customWidth="1"/>
    <col min="41" max="42" width="16" style="1" bestFit="1" customWidth="1"/>
    <col min="43" max="43" width="14" style="1" bestFit="1" customWidth="1"/>
    <col min="44" max="44" width="7.85546875" style="1" bestFit="1" customWidth="1"/>
    <col min="45" max="45" width="32.7109375" style="1" bestFit="1" customWidth="1"/>
    <col min="46" max="46" width="34" style="1" bestFit="1" customWidth="1"/>
    <col min="47" max="47" width="18.42578125" style="1" customWidth="1"/>
    <col min="48" max="48" width="16.85546875" style="1" bestFit="1" customWidth="1"/>
    <col min="49" max="49" width="13.140625" style="1" bestFit="1" customWidth="1"/>
    <col min="50" max="50" width="12" style="1" bestFit="1" customWidth="1"/>
    <col min="51" max="16384" width="11" style="1"/>
  </cols>
  <sheetData>
    <row r="5" spans="2:50" ht="18.75" x14ac:dyDescent="0.25">
      <c r="R5" s="59" t="s">
        <v>1605</v>
      </c>
      <c r="S5" s="59"/>
      <c r="T5" s="59"/>
      <c r="U5" s="34" t="s">
        <v>1610</v>
      </c>
      <c r="V5" s="33" t="s">
        <v>1611</v>
      </c>
      <c r="W5" s="32"/>
      <c r="X5" s="32"/>
    </row>
    <row r="6" spans="2:50" s="6" customFormat="1" ht="18.75" customHeight="1" x14ac:dyDescent="0.25">
      <c r="B6" s="7" t="s">
        <v>0</v>
      </c>
      <c r="C6" s="8" t="s">
        <v>1</v>
      </c>
      <c r="D6" s="8" t="s">
        <v>2</v>
      </c>
      <c r="E6" s="8" t="s">
        <v>3</v>
      </c>
      <c r="F6" s="8" t="s">
        <v>4</v>
      </c>
      <c r="G6" s="8" t="s">
        <v>5</v>
      </c>
      <c r="H6" s="8" t="s">
        <v>6</v>
      </c>
      <c r="I6" s="8" t="s">
        <v>7</v>
      </c>
      <c r="J6" s="8" t="s">
        <v>8</v>
      </c>
      <c r="K6" s="8" t="s">
        <v>9</v>
      </c>
      <c r="L6" s="8" t="s">
        <v>10</v>
      </c>
      <c r="M6" s="8" t="s">
        <v>11</v>
      </c>
      <c r="N6" s="8" t="s">
        <v>12</v>
      </c>
      <c r="O6" s="8" t="s">
        <v>13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22</v>
      </c>
      <c r="Y6" s="8" t="s">
        <v>23</v>
      </c>
      <c r="Z6" s="8" t="s">
        <v>24</v>
      </c>
      <c r="AA6" s="8" t="s">
        <v>25</v>
      </c>
      <c r="AB6" s="8" t="s">
        <v>26</v>
      </c>
      <c r="AC6" s="8" t="s">
        <v>27</v>
      </c>
      <c r="AD6" s="8" t="s">
        <v>28</v>
      </c>
      <c r="AE6" s="8" t="s">
        <v>29</v>
      </c>
      <c r="AF6" s="8" t="s">
        <v>30</v>
      </c>
      <c r="AG6" s="8" t="s">
        <v>31</v>
      </c>
      <c r="AH6" s="8" t="s">
        <v>32</v>
      </c>
      <c r="AI6" s="7" t="s">
        <v>33</v>
      </c>
      <c r="AJ6" s="8" t="s">
        <v>34</v>
      </c>
      <c r="AK6" s="8" t="s">
        <v>35</v>
      </c>
      <c r="AL6" s="8" t="s">
        <v>36</v>
      </c>
      <c r="AM6" s="8" t="s">
        <v>37</v>
      </c>
      <c r="AN6" s="8" t="s">
        <v>38</v>
      </c>
      <c r="AO6" s="8" t="s">
        <v>39</v>
      </c>
      <c r="AP6" s="8" t="s">
        <v>40</v>
      </c>
      <c r="AQ6" s="9" t="s">
        <v>41</v>
      </c>
      <c r="AR6" s="10" t="s">
        <v>826</v>
      </c>
      <c r="AS6" s="10" t="s">
        <v>827</v>
      </c>
      <c r="AT6" s="10" t="s">
        <v>828</v>
      </c>
      <c r="AU6" s="11" t="s">
        <v>829</v>
      </c>
      <c r="AV6" s="11" t="s">
        <v>830</v>
      </c>
      <c r="AW6" s="14" t="s">
        <v>1604</v>
      </c>
      <c r="AX6" s="15" t="s">
        <v>1603</v>
      </c>
    </row>
    <row r="7" spans="2:50" x14ac:dyDescent="0.25">
      <c r="B7" s="2">
        <v>462</v>
      </c>
      <c r="C7" s="2">
        <v>2132585</v>
      </c>
      <c r="D7" s="2" t="s">
        <v>540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35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f>SUM(parking_data_1030[[#This Row],[Résidenti]:[Autres]])</f>
        <v>35</v>
      </c>
      <c r="R7" s="2">
        <v>0</v>
      </c>
      <c r="S7" s="2">
        <v>0</v>
      </c>
      <c r="T7" s="2" t="s">
        <v>43</v>
      </c>
      <c r="U7" s="2" t="s">
        <v>58</v>
      </c>
      <c r="V7" s="2" t="s">
        <v>45</v>
      </c>
      <c r="W7" s="2">
        <v>0</v>
      </c>
      <c r="X7" s="2">
        <v>0</v>
      </c>
      <c r="Y7" s="2">
        <v>0</v>
      </c>
      <c r="Z7" s="2">
        <v>1</v>
      </c>
      <c r="AA7" s="2">
        <v>0</v>
      </c>
      <c r="AB7" s="2" t="s">
        <v>541</v>
      </c>
      <c r="AC7" s="2">
        <v>0</v>
      </c>
      <c r="AD7" s="2"/>
      <c r="AE7" s="2" t="s">
        <v>46</v>
      </c>
      <c r="AF7" s="2">
        <v>0</v>
      </c>
      <c r="AG7" s="2">
        <v>0</v>
      </c>
      <c r="AH7" s="2" t="s">
        <v>359</v>
      </c>
      <c r="AI7" s="2" t="s">
        <v>43</v>
      </c>
      <c r="AJ7" s="2">
        <v>0</v>
      </c>
      <c r="AK7" s="2">
        <v>35</v>
      </c>
      <c r="AL7" s="2"/>
      <c r="AM7" s="2">
        <v>0</v>
      </c>
      <c r="AN7" s="2">
        <v>0</v>
      </c>
      <c r="AO7" s="2"/>
      <c r="AP7" s="2"/>
      <c r="AQ7" s="2" t="s">
        <v>48</v>
      </c>
      <c r="AR7" s="4" t="s">
        <v>1583</v>
      </c>
      <c r="AS7" s="4" t="s">
        <v>1584</v>
      </c>
      <c r="AT7" s="4" t="s">
        <v>1585</v>
      </c>
      <c r="AU7" s="4" t="s">
        <v>984</v>
      </c>
      <c r="AV7" s="4" t="s">
        <v>835</v>
      </c>
      <c r="AW7" s="4">
        <v>4.3890429718000004</v>
      </c>
      <c r="AX7" s="4">
        <v>50.870953758500001</v>
      </c>
    </row>
    <row r="8" spans="2:50" x14ac:dyDescent="0.25">
      <c r="B8" s="2">
        <v>189</v>
      </c>
      <c r="C8" s="2">
        <v>2159215</v>
      </c>
      <c r="D8" s="2" t="s">
        <v>273</v>
      </c>
      <c r="E8" s="2">
        <v>0</v>
      </c>
      <c r="F8" s="2">
        <v>0</v>
      </c>
      <c r="G8" s="2">
        <v>0</v>
      </c>
      <c r="H8" s="2">
        <v>32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f>SUM(parking_data_1030[[#This Row],[Résidenti]:[Autres]])</f>
        <v>32</v>
      </c>
      <c r="R8" s="2">
        <v>0</v>
      </c>
      <c r="S8" s="2">
        <v>0</v>
      </c>
      <c r="T8" s="2" t="s">
        <v>43</v>
      </c>
      <c r="U8" s="2" t="s">
        <v>76</v>
      </c>
      <c r="V8" s="2" t="s">
        <v>45</v>
      </c>
      <c r="W8" s="2">
        <v>1</v>
      </c>
      <c r="X8" s="2">
        <v>1</v>
      </c>
      <c r="Y8" s="2">
        <v>0</v>
      </c>
      <c r="Z8" s="2">
        <v>0</v>
      </c>
      <c r="AA8" s="2">
        <v>0</v>
      </c>
      <c r="AB8" s="2"/>
      <c r="AC8" s="2">
        <v>0</v>
      </c>
      <c r="AD8" s="3">
        <v>49399</v>
      </c>
      <c r="AE8" s="2" t="s">
        <v>46</v>
      </c>
      <c r="AF8" s="2">
        <v>4000</v>
      </c>
      <c r="AG8" s="2">
        <v>40</v>
      </c>
      <c r="AH8" s="2"/>
      <c r="AI8" s="2" t="s">
        <v>43</v>
      </c>
      <c r="AJ8" s="2">
        <v>8</v>
      </c>
      <c r="AK8" s="2">
        <v>32</v>
      </c>
      <c r="AL8" s="2"/>
      <c r="AM8" s="2">
        <v>9</v>
      </c>
      <c r="AN8" s="2">
        <v>0</v>
      </c>
      <c r="AO8" s="2" t="s">
        <v>274</v>
      </c>
      <c r="AP8" s="2"/>
      <c r="AQ8" s="2" t="s">
        <v>70</v>
      </c>
      <c r="AR8" s="2" t="s">
        <v>1485</v>
      </c>
      <c r="AS8" s="2" t="s">
        <v>1211</v>
      </c>
      <c r="AT8" s="2" t="s">
        <v>1212</v>
      </c>
      <c r="AU8" s="2" t="s">
        <v>1210</v>
      </c>
      <c r="AV8" s="2" t="s">
        <v>1142</v>
      </c>
      <c r="AW8" s="2">
        <v>4.3990272196999998</v>
      </c>
      <c r="AX8" s="2">
        <v>50.848612962200001</v>
      </c>
    </row>
    <row r="9" spans="2:50" x14ac:dyDescent="0.25">
      <c r="B9" s="2">
        <v>190</v>
      </c>
      <c r="C9" s="2">
        <v>2159211</v>
      </c>
      <c r="D9" s="2" t="s">
        <v>275</v>
      </c>
      <c r="E9" s="2">
        <v>25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f>SUM(parking_data_1030[[#This Row],[Résidenti]:[Autres]])</f>
        <v>25</v>
      </c>
      <c r="R9" s="2">
        <v>0</v>
      </c>
      <c r="S9" s="2">
        <v>0</v>
      </c>
      <c r="T9" s="2" t="s">
        <v>43</v>
      </c>
      <c r="U9" s="2" t="s">
        <v>54</v>
      </c>
      <c r="V9" s="2" t="s">
        <v>45</v>
      </c>
      <c r="W9" s="2">
        <v>1</v>
      </c>
      <c r="X9" s="2">
        <v>1</v>
      </c>
      <c r="Y9" s="2">
        <v>0</v>
      </c>
      <c r="Z9" s="2">
        <v>0</v>
      </c>
      <c r="AA9" s="2">
        <v>0</v>
      </c>
      <c r="AB9" s="2"/>
      <c r="AC9" s="2">
        <v>0</v>
      </c>
      <c r="AD9" s="2"/>
      <c r="AE9" s="2" t="s">
        <v>46</v>
      </c>
      <c r="AF9" s="2">
        <v>0</v>
      </c>
      <c r="AG9" s="2">
        <v>0</v>
      </c>
      <c r="AH9" s="2" t="s">
        <v>276</v>
      </c>
      <c r="AI9" s="2" t="s">
        <v>43</v>
      </c>
      <c r="AJ9" s="2">
        <v>0</v>
      </c>
      <c r="AK9" s="2">
        <v>0</v>
      </c>
      <c r="AL9" s="2"/>
      <c r="AM9" s="2">
        <v>0</v>
      </c>
      <c r="AN9" s="2">
        <v>0</v>
      </c>
      <c r="AO9" s="2"/>
      <c r="AP9" s="2"/>
      <c r="AQ9" s="2" t="s">
        <v>48</v>
      </c>
      <c r="AR9" s="2" t="s">
        <v>881</v>
      </c>
      <c r="AS9" s="2" t="s">
        <v>1211</v>
      </c>
      <c r="AT9" s="57" t="s">
        <v>1212</v>
      </c>
      <c r="AU9" s="2" t="s">
        <v>1210</v>
      </c>
      <c r="AV9" s="2" t="s">
        <v>1142</v>
      </c>
      <c r="AW9" s="2">
        <v>4.3993196149999996</v>
      </c>
      <c r="AX9" s="2">
        <v>50.848787915400003</v>
      </c>
    </row>
    <row r="10" spans="2:50" x14ac:dyDescent="0.25">
      <c r="B10" s="2">
        <v>191</v>
      </c>
      <c r="C10" s="2">
        <v>2159209</v>
      </c>
      <c r="D10" s="2" t="s">
        <v>277</v>
      </c>
      <c r="E10" s="2">
        <v>62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f>SUM(parking_data_1030[[#This Row],[Résidenti]:[Autres]])</f>
        <v>62</v>
      </c>
      <c r="R10" s="2">
        <v>0</v>
      </c>
      <c r="S10" s="2">
        <v>0</v>
      </c>
      <c r="T10" s="2" t="s">
        <v>43</v>
      </c>
      <c r="U10" s="2" t="s">
        <v>76</v>
      </c>
      <c r="V10" s="2" t="s">
        <v>45</v>
      </c>
      <c r="W10" s="2">
        <v>0</v>
      </c>
      <c r="X10" s="2">
        <v>1</v>
      </c>
      <c r="Y10" s="2">
        <v>0</v>
      </c>
      <c r="Z10" s="2">
        <v>1</v>
      </c>
      <c r="AA10" s="2">
        <v>0</v>
      </c>
      <c r="AB10" s="2"/>
      <c r="AC10" s="2">
        <v>0</v>
      </c>
      <c r="AD10" s="2"/>
      <c r="AE10" s="2" t="s">
        <v>46</v>
      </c>
      <c r="AF10" s="2">
        <v>0</v>
      </c>
      <c r="AG10" s="2">
        <v>0</v>
      </c>
      <c r="AH10" s="2" t="s">
        <v>120</v>
      </c>
      <c r="AI10" s="2" t="s">
        <v>43</v>
      </c>
      <c r="AJ10" s="2">
        <v>0</v>
      </c>
      <c r="AK10" s="2">
        <v>0</v>
      </c>
      <c r="AL10" s="2"/>
      <c r="AM10" s="2">
        <v>0</v>
      </c>
      <c r="AN10" s="2">
        <v>0</v>
      </c>
      <c r="AO10" s="2"/>
      <c r="AP10" s="2"/>
      <c r="AQ10" s="2" t="s">
        <v>48</v>
      </c>
      <c r="AR10" s="2" t="s">
        <v>907</v>
      </c>
      <c r="AS10" s="2" t="s">
        <v>1211</v>
      </c>
      <c r="AT10" s="2" t="s">
        <v>1212</v>
      </c>
      <c r="AU10" s="2" t="s">
        <v>1210</v>
      </c>
      <c r="AV10" s="2" t="s">
        <v>1142</v>
      </c>
      <c r="AW10" s="2">
        <v>4.3994874952999998</v>
      </c>
      <c r="AX10" s="2">
        <v>50.848942299900003</v>
      </c>
    </row>
    <row r="11" spans="2:50" x14ac:dyDescent="0.25">
      <c r="B11" s="2">
        <v>192</v>
      </c>
      <c r="C11" s="2">
        <v>2159207</v>
      </c>
      <c r="D11" s="2" t="s">
        <v>170</v>
      </c>
      <c r="E11" s="2">
        <v>21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f>SUM(parking_data_1030[[#This Row],[Résidenti]:[Autres]])</f>
        <v>21</v>
      </c>
      <c r="R11" s="2">
        <v>0</v>
      </c>
      <c r="S11" s="2">
        <v>0</v>
      </c>
      <c r="T11" s="2" t="s">
        <v>43</v>
      </c>
      <c r="U11" s="2" t="s">
        <v>54</v>
      </c>
      <c r="V11" s="2" t="s">
        <v>45</v>
      </c>
      <c r="W11" s="2">
        <v>0</v>
      </c>
      <c r="X11" s="2">
        <v>1</v>
      </c>
      <c r="Y11" s="2">
        <v>0</v>
      </c>
      <c r="Z11" s="2">
        <v>1</v>
      </c>
      <c r="AA11" s="2">
        <v>0</v>
      </c>
      <c r="AB11" s="2"/>
      <c r="AC11" s="2">
        <v>0</v>
      </c>
      <c r="AD11" s="2"/>
      <c r="AE11" s="2" t="s">
        <v>46</v>
      </c>
      <c r="AF11" s="2">
        <v>0</v>
      </c>
      <c r="AG11" s="2">
        <v>0</v>
      </c>
      <c r="AH11" s="2" t="s">
        <v>55</v>
      </c>
      <c r="AI11" s="2" t="s">
        <v>43</v>
      </c>
      <c r="AJ11" s="2">
        <v>0</v>
      </c>
      <c r="AK11" s="2">
        <v>0</v>
      </c>
      <c r="AL11" s="2"/>
      <c r="AM11" s="2">
        <v>0</v>
      </c>
      <c r="AN11" s="2">
        <v>0</v>
      </c>
      <c r="AO11" s="2"/>
      <c r="AP11" s="2"/>
      <c r="AQ11" s="2" t="s">
        <v>48</v>
      </c>
      <c r="AR11" s="2" t="s">
        <v>874</v>
      </c>
      <c r="AS11" s="2" t="s">
        <v>1211</v>
      </c>
      <c r="AT11" s="2" t="s">
        <v>1212</v>
      </c>
      <c r="AU11" s="2" t="s">
        <v>1210</v>
      </c>
      <c r="AV11" s="2" t="s">
        <v>1142</v>
      </c>
      <c r="AW11" s="2">
        <v>4.3999973868</v>
      </c>
      <c r="AX11" s="2">
        <v>50.849366584499997</v>
      </c>
    </row>
    <row r="12" spans="2:50" x14ac:dyDescent="0.25">
      <c r="B12" s="2">
        <v>194</v>
      </c>
      <c r="C12" s="2">
        <v>2159077</v>
      </c>
      <c r="D12" s="2" t="s">
        <v>172</v>
      </c>
      <c r="E12" s="2">
        <v>19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f>SUM(parking_data_1030[[#This Row],[Résidenti]:[Autres]])</f>
        <v>19</v>
      </c>
      <c r="R12" s="2">
        <v>0</v>
      </c>
      <c r="S12" s="2">
        <v>0</v>
      </c>
      <c r="T12" s="2" t="s">
        <v>43</v>
      </c>
      <c r="U12" s="2" t="s">
        <v>54</v>
      </c>
      <c r="V12" s="2" t="s">
        <v>45</v>
      </c>
      <c r="W12" s="2">
        <v>0</v>
      </c>
      <c r="X12" s="2">
        <v>1</v>
      </c>
      <c r="Y12" s="2">
        <v>0</v>
      </c>
      <c r="Z12" s="2">
        <v>1</v>
      </c>
      <c r="AA12" s="2">
        <v>0</v>
      </c>
      <c r="AB12" s="2"/>
      <c r="AC12" s="2">
        <v>0</v>
      </c>
      <c r="AD12" s="2"/>
      <c r="AE12" s="2" t="s">
        <v>46</v>
      </c>
      <c r="AF12" s="2">
        <v>0</v>
      </c>
      <c r="AG12" s="2">
        <v>0</v>
      </c>
      <c r="AH12" s="2" t="s">
        <v>74</v>
      </c>
      <c r="AI12" s="2" t="s">
        <v>43</v>
      </c>
      <c r="AJ12" s="2">
        <v>0</v>
      </c>
      <c r="AK12" s="2">
        <v>0</v>
      </c>
      <c r="AL12" s="2"/>
      <c r="AM12" s="2">
        <v>0</v>
      </c>
      <c r="AN12" s="2">
        <v>0</v>
      </c>
      <c r="AO12" s="2"/>
      <c r="AP12" s="2"/>
      <c r="AQ12" s="2" t="s">
        <v>48</v>
      </c>
      <c r="AR12" s="2" t="s">
        <v>1214</v>
      </c>
      <c r="AS12" s="2" t="s">
        <v>1211</v>
      </c>
      <c r="AT12" s="2" t="s">
        <v>1212</v>
      </c>
      <c r="AU12" s="2" t="s">
        <v>1215</v>
      </c>
      <c r="AV12" s="2" t="s">
        <v>1142</v>
      </c>
      <c r="AW12" s="2">
        <v>4.4005507893000004</v>
      </c>
      <c r="AX12" s="2">
        <v>50.850171136900002</v>
      </c>
    </row>
    <row r="13" spans="2:50" x14ac:dyDescent="0.25">
      <c r="B13" s="2">
        <v>197</v>
      </c>
      <c r="C13" s="2">
        <v>2159172</v>
      </c>
      <c r="D13" s="2" t="s">
        <v>175</v>
      </c>
      <c r="E13" s="2">
        <v>23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f>SUM(parking_data_1030[[#This Row],[Résidenti]:[Autres]])</f>
        <v>23</v>
      </c>
      <c r="R13" s="2">
        <v>0</v>
      </c>
      <c r="S13" s="2">
        <v>0</v>
      </c>
      <c r="T13" s="2" t="s">
        <v>43</v>
      </c>
      <c r="U13" s="2" t="s">
        <v>110</v>
      </c>
      <c r="V13" s="2" t="s">
        <v>45</v>
      </c>
      <c r="W13" s="2">
        <v>1</v>
      </c>
      <c r="X13" s="2">
        <v>1</v>
      </c>
      <c r="Y13" s="2">
        <v>0</v>
      </c>
      <c r="Z13" s="2">
        <v>0</v>
      </c>
      <c r="AA13" s="2">
        <v>0</v>
      </c>
      <c r="AB13" s="2"/>
      <c r="AC13" s="2">
        <v>0</v>
      </c>
      <c r="AD13" s="2"/>
      <c r="AE13" s="2" t="s">
        <v>46</v>
      </c>
      <c r="AF13" s="2">
        <v>0</v>
      </c>
      <c r="AG13" s="2">
        <v>0</v>
      </c>
      <c r="AH13" s="2"/>
      <c r="AI13" s="2" t="s">
        <v>43</v>
      </c>
      <c r="AJ13" s="2">
        <v>0</v>
      </c>
      <c r="AK13" s="2">
        <v>0</v>
      </c>
      <c r="AL13" s="2"/>
      <c r="AM13" s="2">
        <v>0</v>
      </c>
      <c r="AN13" s="2">
        <v>0</v>
      </c>
      <c r="AO13" s="2"/>
      <c r="AP13" s="2"/>
      <c r="AQ13" s="2" t="s">
        <v>48</v>
      </c>
      <c r="AR13" s="2" t="s">
        <v>857</v>
      </c>
      <c r="AS13" s="2" t="s">
        <v>1211</v>
      </c>
      <c r="AT13" s="2" t="s">
        <v>1212</v>
      </c>
      <c r="AU13" s="2" t="s">
        <v>1222</v>
      </c>
      <c r="AV13" s="2" t="s">
        <v>1142</v>
      </c>
      <c r="AW13" s="2">
        <v>4.3994562754000004</v>
      </c>
      <c r="AX13" s="2">
        <v>50.8493792326</v>
      </c>
    </row>
    <row r="14" spans="2:50" x14ac:dyDescent="0.25">
      <c r="B14" s="2">
        <v>198</v>
      </c>
      <c r="C14" s="2">
        <v>2159180</v>
      </c>
      <c r="D14" s="2" t="s">
        <v>176</v>
      </c>
      <c r="E14" s="2">
        <v>36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f>SUM(parking_data_1030[[#This Row],[Résidenti]:[Autres]])</f>
        <v>36</v>
      </c>
      <c r="R14" s="2">
        <v>0</v>
      </c>
      <c r="S14" s="2">
        <v>0</v>
      </c>
      <c r="T14" s="2" t="s">
        <v>43</v>
      </c>
      <c r="U14" s="2" t="s">
        <v>110</v>
      </c>
      <c r="V14" s="2" t="s">
        <v>45</v>
      </c>
      <c r="W14" s="2">
        <v>1</v>
      </c>
      <c r="X14" s="2">
        <v>1</v>
      </c>
      <c r="Y14" s="2">
        <v>0</v>
      </c>
      <c r="Z14" s="2">
        <v>0</v>
      </c>
      <c r="AA14" s="2">
        <v>0</v>
      </c>
      <c r="AB14" s="2"/>
      <c r="AC14" s="2">
        <v>0</v>
      </c>
      <c r="AD14" s="2"/>
      <c r="AE14" s="2" t="s">
        <v>46</v>
      </c>
      <c r="AF14" s="2">
        <v>0</v>
      </c>
      <c r="AG14" s="2">
        <v>0</v>
      </c>
      <c r="AH14" s="2"/>
      <c r="AI14" s="2" t="s">
        <v>43</v>
      </c>
      <c r="AJ14" s="2">
        <v>0</v>
      </c>
      <c r="AK14" s="2">
        <v>0</v>
      </c>
      <c r="AL14" s="2"/>
      <c r="AM14" s="2">
        <v>0</v>
      </c>
      <c r="AN14" s="2">
        <v>0</v>
      </c>
      <c r="AO14" s="2"/>
      <c r="AP14" s="2"/>
      <c r="AQ14" s="2" t="s">
        <v>48</v>
      </c>
      <c r="AR14" s="2" t="s">
        <v>1223</v>
      </c>
      <c r="AS14" s="2" t="s">
        <v>1211</v>
      </c>
      <c r="AT14" s="2" t="s">
        <v>1212</v>
      </c>
      <c r="AU14" s="2" t="s">
        <v>1222</v>
      </c>
      <c r="AV14" s="2" t="s">
        <v>1142</v>
      </c>
      <c r="AW14" s="2">
        <v>4.3990966771000002</v>
      </c>
      <c r="AX14" s="2">
        <v>50.849124283599998</v>
      </c>
    </row>
    <row r="15" spans="2:50" x14ac:dyDescent="0.25">
      <c r="B15" s="2">
        <v>199</v>
      </c>
      <c r="C15" s="2">
        <v>2159184</v>
      </c>
      <c r="D15" s="2" t="s">
        <v>177</v>
      </c>
      <c r="E15" s="2">
        <v>14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f>SUM(parking_data_1030[[#This Row],[Résidenti]:[Autres]])</f>
        <v>14</v>
      </c>
      <c r="R15" s="2">
        <v>0</v>
      </c>
      <c r="S15" s="2">
        <v>0</v>
      </c>
      <c r="T15" s="2" t="s">
        <v>43</v>
      </c>
      <c r="U15" s="2" t="s">
        <v>110</v>
      </c>
      <c r="V15" s="2" t="s">
        <v>45</v>
      </c>
      <c r="W15" s="2">
        <v>1</v>
      </c>
      <c r="X15" s="2">
        <v>1</v>
      </c>
      <c r="Y15" s="2">
        <v>0</v>
      </c>
      <c r="Z15" s="2">
        <v>0</v>
      </c>
      <c r="AA15" s="2">
        <v>0</v>
      </c>
      <c r="AB15" s="2"/>
      <c r="AC15" s="2">
        <v>0</v>
      </c>
      <c r="AD15" s="2"/>
      <c r="AE15" s="2" t="s">
        <v>46</v>
      </c>
      <c r="AF15" s="2">
        <v>0</v>
      </c>
      <c r="AG15" s="2">
        <v>0</v>
      </c>
      <c r="AH15" s="2"/>
      <c r="AI15" s="2" t="s">
        <v>43</v>
      </c>
      <c r="AJ15" s="2">
        <v>0</v>
      </c>
      <c r="AK15" s="2">
        <v>0</v>
      </c>
      <c r="AL15" s="2"/>
      <c r="AM15" s="2">
        <v>0</v>
      </c>
      <c r="AN15" s="2">
        <v>0</v>
      </c>
      <c r="AO15" s="2"/>
      <c r="AP15" s="2"/>
      <c r="AQ15" s="2" t="s">
        <v>48</v>
      </c>
      <c r="AR15" s="2" t="s">
        <v>1080</v>
      </c>
      <c r="AS15" s="2" t="s">
        <v>1211</v>
      </c>
      <c r="AT15" s="2" t="s">
        <v>1212</v>
      </c>
      <c r="AU15" s="2" t="s">
        <v>1222</v>
      </c>
      <c r="AV15" s="2" t="s">
        <v>1142</v>
      </c>
      <c r="AW15" s="2">
        <v>4.3988556189999999</v>
      </c>
      <c r="AX15" s="2">
        <v>50.848936814200002</v>
      </c>
    </row>
    <row r="16" spans="2:50" x14ac:dyDescent="0.25">
      <c r="B16" s="2">
        <v>200</v>
      </c>
      <c r="C16" s="2">
        <v>2159190</v>
      </c>
      <c r="D16" s="2" t="s">
        <v>160</v>
      </c>
      <c r="E16" s="2">
        <v>14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f>SUM(parking_data_1030[[#This Row],[Résidenti]:[Autres]])</f>
        <v>14</v>
      </c>
      <c r="R16" s="2">
        <v>0</v>
      </c>
      <c r="S16" s="2">
        <v>0</v>
      </c>
      <c r="T16" s="2" t="s">
        <v>43</v>
      </c>
      <c r="U16" s="2" t="s">
        <v>110</v>
      </c>
      <c r="V16" s="2" t="s">
        <v>45</v>
      </c>
      <c r="W16" s="2">
        <v>1</v>
      </c>
      <c r="X16" s="2">
        <v>1</v>
      </c>
      <c r="Y16" s="2">
        <v>0</v>
      </c>
      <c r="Z16" s="2">
        <v>0</v>
      </c>
      <c r="AA16" s="2">
        <v>0</v>
      </c>
      <c r="AB16" s="2"/>
      <c r="AC16" s="2">
        <v>0</v>
      </c>
      <c r="AD16" s="2"/>
      <c r="AE16" s="2" t="s">
        <v>46</v>
      </c>
      <c r="AF16" s="2">
        <v>0</v>
      </c>
      <c r="AG16" s="2">
        <v>0</v>
      </c>
      <c r="AH16" s="2"/>
      <c r="AI16" s="2" t="s">
        <v>43</v>
      </c>
      <c r="AJ16" s="2">
        <v>0</v>
      </c>
      <c r="AK16" s="2">
        <v>0</v>
      </c>
      <c r="AL16" s="2"/>
      <c r="AM16" s="2">
        <v>0</v>
      </c>
      <c r="AN16" s="2">
        <v>0</v>
      </c>
      <c r="AO16" s="2"/>
      <c r="AP16" s="2"/>
      <c r="AQ16" s="2" t="s">
        <v>48</v>
      </c>
      <c r="AR16" s="2" t="s">
        <v>1224</v>
      </c>
      <c r="AS16" s="2" t="s">
        <v>1211</v>
      </c>
      <c r="AT16" s="2" t="s">
        <v>1212</v>
      </c>
      <c r="AU16" s="2" t="s">
        <v>1222</v>
      </c>
      <c r="AV16" s="2" t="s">
        <v>1142</v>
      </c>
      <c r="AW16" s="2">
        <v>4.3985197774999998</v>
      </c>
      <c r="AX16" s="2">
        <v>50.848761871100002</v>
      </c>
    </row>
    <row r="17" spans="2:50" x14ac:dyDescent="0.25">
      <c r="B17" s="2">
        <v>201</v>
      </c>
      <c r="C17" s="2">
        <v>2159186</v>
      </c>
      <c r="D17" s="2" t="s">
        <v>161</v>
      </c>
      <c r="E17" s="2">
        <v>14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f>SUM(parking_data_1030[[#This Row],[Résidenti]:[Autres]])</f>
        <v>14</v>
      </c>
      <c r="R17" s="2">
        <v>0</v>
      </c>
      <c r="S17" s="2">
        <v>0</v>
      </c>
      <c r="T17" s="2" t="s">
        <v>43</v>
      </c>
      <c r="U17" s="2" t="s">
        <v>110</v>
      </c>
      <c r="V17" s="2" t="s">
        <v>45</v>
      </c>
      <c r="W17" s="2">
        <v>1</v>
      </c>
      <c r="X17" s="2">
        <v>1</v>
      </c>
      <c r="Y17" s="2">
        <v>0</v>
      </c>
      <c r="Z17" s="2">
        <v>0</v>
      </c>
      <c r="AA17" s="2">
        <v>0</v>
      </c>
      <c r="AB17" s="2"/>
      <c r="AC17" s="2">
        <v>0</v>
      </c>
      <c r="AD17" s="2"/>
      <c r="AE17" s="2" t="s">
        <v>46</v>
      </c>
      <c r="AF17" s="2">
        <v>0</v>
      </c>
      <c r="AG17" s="2">
        <v>0</v>
      </c>
      <c r="AH17" s="2"/>
      <c r="AI17" s="2" t="s">
        <v>43</v>
      </c>
      <c r="AJ17" s="2">
        <v>0</v>
      </c>
      <c r="AK17" s="2">
        <v>0</v>
      </c>
      <c r="AL17" s="2"/>
      <c r="AM17" s="2">
        <v>0</v>
      </c>
      <c r="AN17" s="2">
        <v>0</v>
      </c>
      <c r="AO17" s="2"/>
      <c r="AP17" s="2"/>
      <c r="AQ17" s="2" t="s">
        <v>48</v>
      </c>
      <c r="AR17" s="2" t="s">
        <v>1225</v>
      </c>
      <c r="AS17" s="2" t="s">
        <v>1211</v>
      </c>
      <c r="AT17" s="2" t="s">
        <v>1212</v>
      </c>
      <c r="AU17" s="2" t="s">
        <v>1222</v>
      </c>
      <c r="AV17" s="2" t="s">
        <v>1142</v>
      </c>
      <c r="AW17" s="2">
        <v>4.3986936274000001</v>
      </c>
      <c r="AX17" s="2">
        <v>50.848856842499998</v>
      </c>
    </row>
    <row r="18" spans="2:50" x14ac:dyDescent="0.25">
      <c r="B18" s="2">
        <v>202</v>
      </c>
      <c r="C18" s="2">
        <v>10005281</v>
      </c>
      <c r="D18" s="2" t="s">
        <v>162</v>
      </c>
      <c r="E18" s="2">
        <v>14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f>SUM(parking_data_1030[[#This Row],[Résidenti]:[Autres]])</f>
        <v>14</v>
      </c>
      <c r="R18" s="2">
        <v>0</v>
      </c>
      <c r="S18" s="2">
        <v>0</v>
      </c>
      <c r="T18" s="2" t="s">
        <v>43</v>
      </c>
      <c r="U18" s="2" t="s">
        <v>76</v>
      </c>
      <c r="V18" s="2" t="s">
        <v>45</v>
      </c>
      <c r="W18" s="2">
        <v>1</v>
      </c>
      <c r="X18" s="2">
        <v>1</v>
      </c>
      <c r="Y18" s="2">
        <v>0</v>
      </c>
      <c r="Z18" s="2">
        <v>0</v>
      </c>
      <c r="AA18" s="2">
        <v>0</v>
      </c>
      <c r="AB18" s="2"/>
      <c r="AC18" s="2">
        <v>0</v>
      </c>
      <c r="AD18" s="2"/>
      <c r="AE18" s="2" t="s">
        <v>46</v>
      </c>
      <c r="AF18" s="2">
        <v>0</v>
      </c>
      <c r="AG18" s="2">
        <v>0</v>
      </c>
      <c r="AH18" s="2"/>
      <c r="AI18" s="2" t="s">
        <v>43</v>
      </c>
      <c r="AJ18" s="2">
        <v>0</v>
      </c>
      <c r="AK18" s="2">
        <v>0</v>
      </c>
      <c r="AL18" s="2"/>
      <c r="AM18" s="2">
        <v>0</v>
      </c>
      <c r="AN18" s="2">
        <v>0</v>
      </c>
      <c r="AO18" s="2"/>
      <c r="AP18" s="2"/>
      <c r="AQ18" s="2" t="s">
        <v>48</v>
      </c>
      <c r="AR18" s="2" t="s">
        <v>865</v>
      </c>
      <c r="AS18" s="2" t="s">
        <v>1211</v>
      </c>
      <c r="AT18" s="2" t="s">
        <v>1212</v>
      </c>
      <c r="AU18" s="2" t="s">
        <v>1222</v>
      </c>
      <c r="AV18" s="2" t="s">
        <v>1142</v>
      </c>
      <c r="AW18" s="2">
        <v>4.3984525350999997</v>
      </c>
      <c r="AX18" s="2">
        <v>50.848611862200002</v>
      </c>
    </row>
    <row r="19" spans="2:50" x14ac:dyDescent="0.25">
      <c r="B19" s="2">
        <v>71</v>
      </c>
      <c r="C19" s="2">
        <v>2176963</v>
      </c>
      <c r="D19" s="2" t="s">
        <v>716</v>
      </c>
      <c r="E19" s="2">
        <v>15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f>SUM(parking_data_1030[[#This Row],[Résidenti]:[Autres]])</f>
        <v>15</v>
      </c>
      <c r="R19" s="2">
        <v>0</v>
      </c>
      <c r="S19" s="2">
        <v>0</v>
      </c>
      <c r="T19" s="2" t="s">
        <v>43</v>
      </c>
      <c r="U19" s="2" t="s">
        <v>54</v>
      </c>
      <c r="V19" s="2" t="s">
        <v>45</v>
      </c>
      <c r="W19" s="2">
        <v>0</v>
      </c>
      <c r="X19" s="2">
        <v>1</v>
      </c>
      <c r="Y19" s="2">
        <v>0</v>
      </c>
      <c r="Z19" s="2">
        <v>1</v>
      </c>
      <c r="AA19" s="2">
        <v>0</v>
      </c>
      <c r="AB19" s="2"/>
      <c r="AC19" s="2">
        <v>0</v>
      </c>
      <c r="AD19" s="2"/>
      <c r="AE19" s="2" t="s">
        <v>106</v>
      </c>
      <c r="AF19" s="2">
        <v>0</v>
      </c>
      <c r="AG19" s="2">
        <v>0</v>
      </c>
      <c r="AH19" s="2" t="s">
        <v>55</v>
      </c>
      <c r="AI19" s="2" t="s">
        <v>43</v>
      </c>
      <c r="AJ19" s="2">
        <v>0</v>
      </c>
      <c r="AK19" s="2">
        <v>0</v>
      </c>
      <c r="AL19" s="2"/>
      <c r="AM19" s="2">
        <v>0</v>
      </c>
      <c r="AN19" s="2">
        <v>0</v>
      </c>
      <c r="AO19" s="2"/>
      <c r="AP19" s="2"/>
      <c r="AQ19" s="2" t="s">
        <v>48</v>
      </c>
      <c r="AR19" s="2" t="s">
        <v>1008</v>
      </c>
      <c r="AS19" s="2" t="s">
        <v>1009</v>
      </c>
      <c r="AT19" s="2" t="s">
        <v>1010</v>
      </c>
      <c r="AU19" s="2" t="s">
        <v>1011</v>
      </c>
      <c r="AV19" s="2" t="s">
        <v>1000</v>
      </c>
      <c r="AW19" s="2">
        <v>4.3901400636999997</v>
      </c>
      <c r="AX19" s="2">
        <v>50.869257005999998</v>
      </c>
    </row>
    <row r="20" spans="2:50" x14ac:dyDescent="0.25">
      <c r="B20" s="2">
        <v>3</v>
      </c>
      <c r="C20" s="2">
        <v>2176178</v>
      </c>
      <c r="D20" s="2" t="s">
        <v>812</v>
      </c>
      <c r="E20" s="2">
        <v>24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f>SUM(parking_data_1030[[#This Row],[Résidenti]:[Autres]])</f>
        <v>24</v>
      </c>
      <c r="R20" s="2">
        <v>24</v>
      </c>
      <c r="S20" s="2">
        <v>24</v>
      </c>
      <c r="T20" s="2" t="s">
        <v>43</v>
      </c>
      <c r="U20" s="2" t="s">
        <v>44</v>
      </c>
      <c r="V20" s="2" t="s">
        <v>45</v>
      </c>
      <c r="W20" s="2">
        <v>1</v>
      </c>
      <c r="X20" s="2">
        <v>1</v>
      </c>
      <c r="Y20" s="2">
        <v>0</v>
      </c>
      <c r="Z20" s="2">
        <v>0</v>
      </c>
      <c r="AA20" s="2">
        <v>1</v>
      </c>
      <c r="AB20" s="2"/>
      <c r="AC20" s="2">
        <v>104</v>
      </c>
      <c r="AD20" s="2"/>
      <c r="AE20" s="2" t="s">
        <v>52</v>
      </c>
      <c r="AF20" s="2">
        <v>0</v>
      </c>
      <c r="AG20" s="2">
        <v>0</v>
      </c>
      <c r="AH20" s="2"/>
      <c r="AI20" s="2" t="s">
        <v>43</v>
      </c>
      <c r="AJ20" s="2">
        <v>0</v>
      </c>
      <c r="AK20" s="2">
        <v>0</v>
      </c>
      <c r="AL20" s="2"/>
      <c r="AM20" s="2">
        <v>0</v>
      </c>
      <c r="AN20" s="2">
        <v>0</v>
      </c>
      <c r="AO20" s="2"/>
      <c r="AP20" s="2"/>
      <c r="AQ20" s="2" t="s">
        <v>48</v>
      </c>
      <c r="AR20" s="2" t="s">
        <v>841</v>
      </c>
      <c r="AS20" s="2" t="s">
        <v>842</v>
      </c>
      <c r="AT20" s="2" t="s">
        <v>843</v>
      </c>
      <c r="AU20" s="2" t="s">
        <v>844</v>
      </c>
      <c r="AV20" s="2" t="s">
        <v>835</v>
      </c>
      <c r="AW20" s="2">
        <v>4.3789534215000003</v>
      </c>
      <c r="AX20" s="2">
        <v>50.874076721900003</v>
      </c>
    </row>
    <row r="21" spans="2:50" x14ac:dyDescent="0.25">
      <c r="B21" s="2">
        <v>300</v>
      </c>
      <c r="C21" s="2">
        <v>2152452</v>
      </c>
      <c r="D21" s="2" t="s">
        <v>503</v>
      </c>
      <c r="E21" s="2">
        <v>53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f>SUM(parking_data_1030[[#This Row],[Résidenti]:[Autres]])</f>
        <v>53</v>
      </c>
      <c r="R21" s="2">
        <v>0</v>
      </c>
      <c r="S21" s="2">
        <v>0</v>
      </c>
      <c r="T21" s="2" t="s">
        <v>43</v>
      </c>
      <c r="U21" s="2" t="s">
        <v>44</v>
      </c>
      <c r="V21" s="2" t="s">
        <v>45</v>
      </c>
      <c r="W21" s="2">
        <v>1</v>
      </c>
      <c r="X21" s="2">
        <v>1</v>
      </c>
      <c r="Y21" s="2">
        <v>0</v>
      </c>
      <c r="Z21" s="2">
        <v>0</v>
      </c>
      <c r="AA21" s="2">
        <v>0</v>
      </c>
      <c r="AB21" s="2"/>
      <c r="AC21" s="2">
        <v>0</v>
      </c>
      <c r="AD21" s="2"/>
      <c r="AE21" s="2" t="s">
        <v>106</v>
      </c>
      <c r="AF21" s="2">
        <v>0</v>
      </c>
      <c r="AG21" s="2">
        <v>0</v>
      </c>
      <c r="AH21" s="2"/>
      <c r="AI21" s="2" t="s">
        <v>43</v>
      </c>
      <c r="AJ21" s="2">
        <v>0</v>
      </c>
      <c r="AK21" s="2">
        <v>0</v>
      </c>
      <c r="AL21" s="2"/>
      <c r="AM21" s="2">
        <v>0</v>
      </c>
      <c r="AN21" s="2">
        <v>0</v>
      </c>
      <c r="AO21" s="2"/>
      <c r="AP21" s="2"/>
      <c r="AQ21" s="2" t="s">
        <v>48</v>
      </c>
      <c r="AR21" s="2" t="s">
        <v>1279</v>
      </c>
      <c r="AS21" s="2" t="s">
        <v>1365</v>
      </c>
      <c r="AT21" s="2" t="s">
        <v>1366</v>
      </c>
      <c r="AU21" s="2" t="s">
        <v>1367</v>
      </c>
      <c r="AV21" s="2" t="s">
        <v>1137</v>
      </c>
      <c r="AW21" s="2">
        <v>4.3823130889000002</v>
      </c>
      <c r="AX21" s="2">
        <v>50.8548039398</v>
      </c>
    </row>
    <row r="22" spans="2:50" x14ac:dyDescent="0.25">
      <c r="B22" s="2">
        <v>23</v>
      </c>
      <c r="C22" s="2">
        <v>3000074</v>
      </c>
      <c r="D22" s="2" t="s">
        <v>49</v>
      </c>
      <c r="E22" s="2">
        <v>0</v>
      </c>
      <c r="F22" s="2">
        <v>0</v>
      </c>
      <c r="G22" s="2">
        <v>0</v>
      </c>
      <c r="H22" s="2">
        <v>19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f>SUM(parking_data_1030[[#This Row],[Résidenti]:[Autres]])</f>
        <v>19</v>
      </c>
      <c r="R22" s="2">
        <v>0</v>
      </c>
      <c r="S22" s="2">
        <v>0</v>
      </c>
      <c r="T22" s="2" t="s">
        <v>43</v>
      </c>
      <c r="U22" s="2" t="s">
        <v>44</v>
      </c>
      <c r="V22" s="2" t="s">
        <v>45</v>
      </c>
      <c r="W22" s="2">
        <v>1</v>
      </c>
      <c r="X22" s="2">
        <v>1</v>
      </c>
      <c r="Y22" s="2">
        <v>0</v>
      </c>
      <c r="Z22" s="2">
        <v>0</v>
      </c>
      <c r="AA22" s="2">
        <v>0</v>
      </c>
      <c r="AB22" s="2"/>
      <c r="AC22" s="2">
        <v>0</v>
      </c>
      <c r="AD22" s="3">
        <v>48861</v>
      </c>
      <c r="AE22" s="2" t="s">
        <v>46</v>
      </c>
      <c r="AF22" s="2">
        <v>2115</v>
      </c>
      <c r="AG22" s="2">
        <v>22</v>
      </c>
      <c r="AH22" s="2" t="s">
        <v>50</v>
      </c>
      <c r="AI22" s="2" t="s">
        <v>43</v>
      </c>
      <c r="AJ22" s="2">
        <v>3</v>
      </c>
      <c r="AK22" s="2">
        <v>19</v>
      </c>
      <c r="AL22" s="2"/>
      <c r="AM22" s="2">
        <v>0</v>
      </c>
      <c r="AN22" s="2">
        <v>0</v>
      </c>
      <c r="AO22" s="2"/>
      <c r="AP22" s="2"/>
      <c r="AQ22" s="2" t="s">
        <v>48</v>
      </c>
      <c r="AR22" s="2" t="s">
        <v>1355</v>
      </c>
      <c r="AS22" s="2" t="s">
        <v>1356</v>
      </c>
      <c r="AT22" s="2" t="s">
        <v>1357</v>
      </c>
      <c r="AU22" s="2" t="s">
        <v>899</v>
      </c>
      <c r="AV22" s="2" t="s">
        <v>835</v>
      </c>
      <c r="AW22" s="2">
        <v>4.3859016947000002</v>
      </c>
      <c r="AX22" s="2">
        <v>50.876071527299999</v>
      </c>
    </row>
    <row r="23" spans="2:50" x14ac:dyDescent="0.25">
      <c r="B23" s="2">
        <v>298</v>
      </c>
      <c r="C23" s="2">
        <v>2142682</v>
      </c>
      <c r="D23" s="2" t="s">
        <v>501</v>
      </c>
      <c r="E23" s="2">
        <v>30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f>SUM(parking_data_1030[[#This Row],[Résidenti]:[Autres]])</f>
        <v>30</v>
      </c>
      <c r="R23" s="2">
        <v>0</v>
      </c>
      <c r="S23" s="2">
        <v>0</v>
      </c>
      <c r="T23" s="2" t="s">
        <v>43</v>
      </c>
      <c r="U23" s="2" t="s">
        <v>54</v>
      </c>
      <c r="V23" s="2" t="s">
        <v>45</v>
      </c>
      <c r="W23" s="2">
        <v>1</v>
      </c>
      <c r="X23" s="2">
        <v>1</v>
      </c>
      <c r="Y23" s="2">
        <v>0</v>
      </c>
      <c r="Z23" s="2">
        <v>0</v>
      </c>
      <c r="AA23" s="2">
        <v>0</v>
      </c>
      <c r="AB23" s="2"/>
      <c r="AC23" s="2">
        <v>0</v>
      </c>
      <c r="AD23" s="2"/>
      <c r="AE23" s="2" t="s">
        <v>106</v>
      </c>
      <c r="AF23" s="2">
        <v>0</v>
      </c>
      <c r="AG23" s="2">
        <v>0</v>
      </c>
      <c r="AH23" s="2"/>
      <c r="AI23" s="2" t="s">
        <v>43</v>
      </c>
      <c r="AJ23" s="2">
        <v>0</v>
      </c>
      <c r="AK23" s="2">
        <v>0</v>
      </c>
      <c r="AL23" s="2"/>
      <c r="AM23" s="2">
        <v>0</v>
      </c>
      <c r="AN23" s="2">
        <v>0</v>
      </c>
      <c r="AO23" s="2"/>
      <c r="AP23" s="2"/>
      <c r="AQ23" s="2" t="s">
        <v>48</v>
      </c>
      <c r="AR23" s="2" t="s">
        <v>952</v>
      </c>
      <c r="AS23" s="2" t="s">
        <v>1363</v>
      </c>
      <c r="AT23" s="2" t="s">
        <v>1364</v>
      </c>
      <c r="AU23" s="2" t="s">
        <v>1359</v>
      </c>
      <c r="AV23" s="2" t="s">
        <v>1137</v>
      </c>
      <c r="AW23" s="2">
        <v>4.3792867275000003</v>
      </c>
      <c r="AX23" s="2">
        <v>50.853524403199998</v>
      </c>
    </row>
    <row r="24" spans="2:50" x14ac:dyDescent="0.25">
      <c r="B24" s="2">
        <v>299</v>
      </c>
      <c r="C24" s="2">
        <v>2142688</v>
      </c>
      <c r="D24" s="2" t="s">
        <v>502</v>
      </c>
      <c r="E24" s="2">
        <v>56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f>SUM(parking_data_1030[[#This Row],[Résidenti]:[Autres]])</f>
        <v>56</v>
      </c>
      <c r="R24" s="2">
        <v>0</v>
      </c>
      <c r="S24" s="2">
        <v>0</v>
      </c>
      <c r="T24" s="2" t="s">
        <v>43</v>
      </c>
      <c r="U24" s="2" t="s">
        <v>54</v>
      </c>
      <c r="V24" s="2" t="s">
        <v>45</v>
      </c>
      <c r="W24" s="2">
        <v>1</v>
      </c>
      <c r="X24" s="2">
        <v>1</v>
      </c>
      <c r="Y24" s="2">
        <v>0</v>
      </c>
      <c r="Z24" s="2">
        <v>0</v>
      </c>
      <c r="AA24" s="2">
        <v>0</v>
      </c>
      <c r="AB24" s="2"/>
      <c r="AC24" s="2">
        <v>0</v>
      </c>
      <c r="AD24" s="2"/>
      <c r="AE24" s="2" t="s">
        <v>106</v>
      </c>
      <c r="AF24" s="2">
        <v>0</v>
      </c>
      <c r="AG24" s="2">
        <v>0</v>
      </c>
      <c r="AH24" s="2"/>
      <c r="AI24" s="2" t="s">
        <v>43</v>
      </c>
      <c r="AJ24" s="2">
        <v>0</v>
      </c>
      <c r="AK24" s="2">
        <v>0</v>
      </c>
      <c r="AL24" s="2"/>
      <c r="AM24" s="2">
        <v>0</v>
      </c>
      <c r="AN24" s="2">
        <v>0</v>
      </c>
      <c r="AO24" s="2"/>
      <c r="AP24" s="2"/>
      <c r="AQ24" s="2" t="s">
        <v>48</v>
      </c>
      <c r="AR24" s="2" t="s">
        <v>874</v>
      </c>
      <c r="AS24" s="2" t="s">
        <v>1363</v>
      </c>
      <c r="AT24" s="2" t="s">
        <v>1364</v>
      </c>
      <c r="AU24" s="2" t="s">
        <v>1359</v>
      </c>
      <c r="AV24" s="2" t="s">
        <v>1137</v>
      </c>
      <c r="AW24" s="2">
        <v>4.3796621883000002</v>
      </c>
      <c r="AX24" s="2">
        <v>50.853620275600001</v>
      </c>
    </row>
    <row r="25" spans="2:50" x14ac:dyDescent="0.25">
      <c r="B25" s="2">
        <v>49</v>
      </c>
      <c r="C25" s="2">
        <v>2132518</v>
      </c>
      <c r="D25" s="2" t="s">
        <v>108</v>
      </c>
      <c r="E25" s="2">
        <v>108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f>SUM(parking_data_1030[[#This Row],[Résidenti]:[Autres]])</f>
        <v>108</v>
      </c>
      <c r="R25" s="2">
        <v>0</v>
      </c>
      <c r="S25" s="2">
        <v>0</v>
      </c>
      <c r="T25" s="2" t="s">
        <v>43</v>
      </c>
      <c r="U25" s="2" t="s">
        <v>76</v>
      </c>
      <c r="V25" s="2" t="s">
        <v>59</v>
      </c>
      <c r="W25" s="2">
        <v>1</v>
      </c>
      <c r="X25" s="2">
        <v>1</v>
      </c>
      <c r="Y25" s="2">
        <v>0</v>
      </c>
      <c r="Z25" s="2">
        <v>0</v>
      </c>
      <c r="AA25" s="2">
        <v>1</v>
      </c>
      <c r="AB25" s="2"/>
      <c r="AC25" s="2">
        <v>0</v>
      </c>
      <c r="AD25" s="2"/>
      <c r="AE25" s="2" t="s">
        <v>46</v>
      </c>
      <c r="AF25" s="2">
        <v>0</v>
      </c>
      <c r="AG25" s="2">
        <v>0</v>
      </c>
      <c r="AH25" s="2"/>
      <c r="AI25" s="2" t="s">
        <v>43</v>
      </c>
      <c r="AJ25" s="2">
        <v>0</v>
      </c>
      <c r="AK25" s="2">
        <v>0</v>
      </c>
      <c r="AL25" s="2"/>
      <c r="AM25" s="2">
        <v>0</v>
      </c>
      <c r="AN25" s="2">
        <v>0</v>
      </c>
      <c r="AO25" s="2"/>
      <c r="AP25" s="2"/>
      <c r="AQ25" s="2" t="s">
        <v>48</v>
      </c>
      <c r="AR25" s="2" t="s">
        <v>964</v>
      </c>
      <c r="AS25" s="2" t="s">
        <v>965</v>
      </c>
      <c r="AT25" s="2" t="s">
        <v>966</v>
      </c>
      <c r="AU25" s="2" t="s">
        <v>967</v>
      </c>
      <c r="AV25" s="2" t="s">
        <v>835</v>
      </c>
      <c r="AW25" s="2">
        <v>4.3910904960000003</v>
      </c>
      <c r="AX25" s="2">
        <v>50.873105359599997</v>
      </c>
    </row>
    <row r="26" spans="2:50" x14ac:dyDescent="0.25">
      <c r="B26" s="2">
        <v>50</v>
      </c>
      <c r="C26" s="2">
        <v>2132519</v>
      </c>
      <c r="D26" s="2" t="s">
        <v>786</v>
      </c>
      <c r="E26" s="2">
        <v>98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f>SUM(parking_data_1030[[#This Row],[Résidenti]:[Autres]])</f>
        <v>98</v>
      </c>
      <c r="R26" s="2">
        <v>98</v>
      </c>
      <c r="S26" s="2">
        <v>98</v>
      </c>
      <c r="T26" s="2" t="s">
        <v>43</v>
      </c>
      <c r="U26" s="2" t="s">
        <v>76</v>
      </c>
      <c r="V26" s="2" t="s">
        <v>59</v>
      </c>
      <c r="W26" s="2">
        <v>0</v>
      </c>
      <c r="X26" s="2">
        <v>1</v>
      </c>
      <c r="Y26" s="2">
        <v>0</v>
      </c>
      <c r="Z26" s="2">
        <v>0</v>
      </c>
      <c r="AA26" s="2">
        <v>1</v>
      </c>
      <c r="AB26" s="2"/>
      <c r="AC26" s="2">
        <v>75</v>
      </c>
      <c r="AD26" s="2"/>
      <c r="AE26" s="2" t="s">
        <v>46</v>
      </c>
      <c r="AF26" s="2">
        <v>0</v>
      </c>
      <c r="AG26" s="2">
        <v>0</v>
      </c>
      <c r="AH26" s="2"/>
      <c r="AI26" s="2" t="s">
        <v>43</v>
      </c>
      <c r="AJ26" s="2">
        <v>0</v>
      </c>
      <c r="AK26" s="2">
        <v>0</v>
      </c>
      <c r="AL26" s="2"/>
      <c r="AM26" s="2">
        <v>0</v>
      </c>
      <c r="AN26" s="2">
        <v>0</v>
      </c>
      <c r="AO26" s="2"/>
      <c r="AP26" s="2"/>
      <c r="AQ26" s="2" t="s">
        <v>48</v>
      </c>
      <c r="AR26" s="2" t="s">
        <v>968</v>
      </c>
      <c r="AS26" s="2" t="s">
        <v>965</v>
      </c>
      <c r="AT26" s="2" t="s">
        <v>966</v>
      </c>
      <c r="AU26" s="2" t="s">
        <v>967</v>
      </c>
      <c r="AV26" s="2" t="s">
        <v>835</v>
      </c>
      <c r="AW26" s="2">
        <v>4.3914595602000004</v>
      </c>
      <c r="AX26" s="2">
        <v>50.872735361899998</v>
      </c>
    </row>
    <row r="27" spans="2:50" x14ac:dyDescent="0.25">
      <c r="B27" s="2">
        <v>292</v>
      </c>
      <c r="C27" s="2">
        <v>11053232</v>
      </c>
      <c r="D27" s="2" t="s">
        <v>514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16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f>SUM(parking_data_1030[[#This Row],[Résidenti]:[Autres]])</f>
        <v>16</v>
      </c>
      <c r="R27" s="2">
        <v>0</v>
      </c>
      <c r="S27" s="2">
        <v>0</v>
      </c>
      <c r="T27" s="2" t="s">
        <v>43</v>
      </c>
      <c r="U27" s="2" t="s">
        <v>64</v>
      </c>
      <c r="V27" s="2" t="s">
        <v>45</v>
      </c>
      <c r="W27" s="2">
        <v>1</v>
      </c>
      <c r="X27" s="2">
        <v>0</v>
      </c>
      <c r="Y27" s="2">
        <v>0</v>
      </c>
      <c r="Z27" s="2">
        <v>1</v>
      </c>
      <c r="AA27" s="2">
        <v>0</v>
      </c>
      <c r="AB27" s="2"/>
      <c r="AC27" s="2">
        <v>0</v>
      </c>
      <c r="AD27" s="2"/>
      <c r="AE27" s="2" t="s">
        <v>106</v>
      </c>
      <c r="AF27" s="2">
        <v>0</v>
      </c>
      <c r="AG27" s="2">
        <v>0</v>
      </c>
      <c r="AH27" s="2" t="s">
        <v>515</v>
      </c>
      <c r="AI27" s="2" t="s">
        <v>43</v>
      </c>
      <c r="AJ27" s="2">
        <v>0</v>
      </c>
      <c r="AK27" s="2">
        <v>16</v>
      </c>
      <c r="AL27" s="2"/>
      <c r="AM27" s="2">
        <v>0</v>
      </c>
      <c r="AN27" s="2">
        <v>0</v>
      </c>
      <c r="AO27" s="2"/>
      <c r="AP27" s="2"/>
      <c r="AQ27" s="2" t="s">
        <v>48</v>
      </c>
      <c r="AR27" s="2" t="s">
        <v>1165</v>
      </c>
      <c r="AS27" s="2" t="s">
        <v>1353</v>
      </c>
      <c r="AT27" s="2" t="s">
        <v>1354</v>
      </c>
      <c r="AU27" s="2" t="s">
        <v>1352</v>
      </c>
      <c r="AV27" s="2" t="s">
        <v>1137</v>
      </c>
      <c r="AW27" s="2">
        <v>4.3836498017999999</v>
      </c>
      <c r="AX27" s="2">
        <v>50.853281513299997</v>
      </c>
    </row>
    <row r="28" spans="2:50" x14ac:dyDescent="0.25">
      <c r="B28" s="2">
        <v>305</v>
      </c>
      <c r="C28" s="2">
        <v>2153368</v>
      </c>
      <c r="D28" s="2" t="s">
        <v>490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f>SUM(parking_data_1030[[#This Row],[Résidenti]:[Autres]])</f>
        <v>0</v>
      </c>
      <c r="R28" s="2">
        <v>0</v>
      </c>
      <c r="S28" s="2">
        <v>0</v>
      </c>
      <c r="T28" s="2" t="s">
        <v>43</v>
      </c>
      <c r="U28" s="2" t="s">
        <v>44</v>
      </c>
      <c r="V28" s="2" t="s">
        <v>45</v>
      </c>
      <c r="W28" s="2">
        <v>0</v>
      </c>
      <c r="X28" s="2">
        <v>0</v>
      </c>
      <c r="Y28" s="2">
        <v>0</v>
      </c>
      <c r="Z28" s="2">
        <v>1</v>
      </c>
      <c r="AA28" s="2">
        <v>0</v>
      </c>
      <c r="AB28" s="2" t="s">
        <v>191</v>
      </c>
      <c r="AC28" s="2">
        <v>0</v>
      </c>
      <c r="AD28" s="2"/>
      <c r="AE28" s="2" t="s">
        <v>46</v>
      </c>
      <c r="AF28" s="2">
        <v>0</v>
      </c>
      <c r="AG28" s="2">
        <v>0</v>
      </c>
      <c r="AH28" s="2" t="s">
        <v>192</v>
      </c>
      <c r="AI28" s="2" t="s">
        <v>79</v>
      </c>
      <c r="AJ28" s="2">
        <v>0</v>
      </c>
      <c r="AK28" s="2">
        <v>0</v>
      </c>
      <c r="AL28" s="2" t="s">
        <v>193</v>
      </c>
      <c r="AM28" s="2">
        <v>0</v>
      </c>
      <c r="AN28" s="2">
        <v>0</v>
      </c>
      <c r="AO28" s="2"/>
      <c r="AP28" s="2"/>
      <c r="AQ28" s="2" t="s">
        <v>48</v>
      </c>
      <c r="AR28" s="2" t="s">
        <v>853</v>
      </c>
      <c r="AS28" s="2" t="s">
        <v>1353</v>
      </c>
      <c r="AT28" s="2" t="s">
        <v>1354</v>
      </c>
      <c r="AU28" s="2" t="s">
        <v>1375</v>
      </c>
      <c r="AV28" s="2" t="s">
        <v>1137</v>
      </c>
      <c r="AW28" s="2">
        <v>4.3837932732000002</v>
      </c>
      <c r="AX28" s="2">
        <v>50.857259176500001</v>
      </c>
    </row>
    <row r="29" spans="2:50" x14ac:dyDescent="0.25">
      <c r="B29" s="2">
        <v>271</v>
      </c>
      <c r="C29" s="2">
        <v>2156205</v>
      </c>
      <c r="D29" s="2" t="s">
        <v>466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14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f>SUM(parking_data_1030[[#This Row],[Résidenti]:[Autres]])</f>
        <v>14</v>
      </c>
      <c r="R29" s="2">
        <v>0</v>
      </c>
      <c r="S29" s="2">
        <v>0</v>
      </c>
      <c r="T29" s="2" t="s">
        <v>43</v>
      </c>
      <c r="U29" s="2" t="s">
        <v>58</v>
      </c>
      <c r="V29" s="2" t="s">
        <v>45</v>
      </c>
      <c r="W29" s="2">
        <v>1</v>
      </c>
      <c r="X29" s="2">
        <v>0</v>
      </c>
      <c r="Y29" s="2">
        <v>0</v>
      </c>
      <c r="Z29" s="2">
        <v>0</v>
      </c>
      <c r="AA29" s="2">
        <v>0</v>
      </c>
      <c r="AB29" s="2"/>
      <c r="AC29" s="2">
        <v>0</v>
      </c>
      <c r="AD29" s="2"/>
      <c r="AE29" s="2" t="s">
        <v>46</v>
      </c>
      <c r="AF29" s="2">
        <v>0</v>
      </c>
      <c r="AG29" s="2">
        <v>0</v>
      </c>
      <c r="AH29" s="2"/>
      <c r="AI29" s="2" t="s">
        <v>43</v>
      </c>
      <c r="AJ29" s="2">
        <v>0</v>
      </c>
      <c r="AK29" s="2">
        <v>14</v>
      </c>
      <c r="AL29" s="2"/>
      <c r="AM29" s="2">
        <v>0</v>
      </c>
      <c r="AN29" s="2">
        <v>0</v>
      </c>
      <c r="AO29" s="2"/>
      <c r="AP29" s="2"/>
      <c r="AQ29" s="2" t="s">
        <v>48</v>
      </c>
      <c r="AR29" s="2" t="s">
        <v>1178</v>
      </c>
      <c r="AS29" s="2" t="s">
        <v>1319</v>
      </c>
      <c r="AT29" s="2" t="s">
        <v>1320</v>
      </c>
      <c r="AU29" s="2" t="s">
        <v>1321</v>
      </c>
      <c r="AV29" s="2" t="s">
        <v>1137</v>
      </c>
      <c r="AW29" s="2">
        <v>4.3897417665000003</v>
      </c>
      <c r="AX29" s="2">
        <v>50.855227135200003</v>
      </c>
    </row>
    <row r="30" spans="2:50" x14ac:dyDescent="0.25">
      <c r="B30" s="2">
        <v>274</v>
      </c>
      <c r="C30" s="2">
        <v>2155485</v>
      </c>
      <c r="D30" s="2" t="s">
        <v>449</v>
      </c>
      <c r="E30" s="2">
        <v>14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f>SUM(parking_data_1030[[#This Row],[Résidenti]:[Autres]])</f>
        <v>14</v>
      </c>
      <c r="R30" s="2">
        <v>0</v>
      </c>
      <c r="S30" s="2">
        <v>0</v>
      </c>
      <c r="T30" s="2" t="s">
        <v>43</v>
      </c>
      <c r="U30" s="2" t="s">
        <v>76</v>
      </c>
      <c r="V30" s="2" t="s">
        <v>45</v>
      </c>
      <c r="W30" s="2">
        <v>1</v>
      </c>
      <c r="X30" s="2">
        <v>1</v>
      </c>
      <c r="Y30" s="2">
        <v>0</v>
      </c>
      <c r="Z30" s="2">
        <v>0</v>
      </c>
      <c r="AA30" s="2">
        <v>0</v>
      </c>
      <c r="AB30" s="2"/>
      <c r="AC30" s="2">
        <v>0</v>
      </c>
      <c r="AD30" s="2"/>
      <c r="AE30" s="2" t="s">
        <v>46</v>
      </c>
      <c r="AF30" s="2">
        <v>0</v>
      </c>
      <c r="AG30" s="2">
        <v>0</v>
      </c>
      <c r="AH30" s="2"/>
      <c r="AI30" s="2" t="s">
        <v>43</v>
      </c>
      <c r="AJ30" s="2">
        <v>0</v>
      </c>
      <c r="AK30" s="2">
        <v>0</v>
      </c>
      <c r="AL30" s="2"/>
      <c r="AM30" s="2">
        <v>0</v>
      </c>
      <c r="AN30" s="2">
        <v>0</v>
      </c>
      <c r="AO30" s="2"/>
      <c r="AP30" s="2"/>
      <c r="AQ30" s="2" t="s">
        <v>48</v>
      </c>
      <c r="AR30" s="2" t="s">
        <v>1138</v>
      </c>
      <c r="AS30" s="2" t="s">
        <v>1319</v>
      </c>
      <c r="AT30" s="2" t="s">
        <v>1320</v>
      </c>
      <c r="AU30" s="2" t="s">
        <v>1324</v>
      </c>
      <c r="AV30" s="2" t="s">
        <v>1137</v>
      </c>
      <c r="AW30" s="2">
        <v>4.3907147738000001</v>
      </c>
      <c r="AX30" s="2">
        <v>50.853700436300002</v>
      </c>
    </row>
    <row r="31" spans="2:50" x14ac:dyDescent="0.25">
      <c r="B31" s="2">
        <v>275</v>
      </c>
      <c r="C31" s="2">
        <v>10002620</v>
      </c>
      <c r="D31" s="2" t="s">
        <v>450</v>
      </c>
      <c r="E31" s="2">
        <v>10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f>SUM(parking_data_1030[[#This Row],[Résidenti]:[Autres]])</f>
        <v>10</v>
      </c>
      <c r="R31" s="2">
        <v>0</v>
      </c>
      <c r="S31" s="2">
        <v>0</v>
      </c>
      <c r="T31" s="2" t="s">
        <v>43</v>
      </c>
      <c r="U31" s="2" t="s">
        <v>76</v>
      </c>
      <c r="V31" s="2" t="s">
        <v>45</v>
      </c>
      <c r="W31" s="2">
        <v>1</v>
      </c>
      <c r="X31" s="2">
        <v>1</v>
      </c>
      <c r="Y31" s="2">
        <v>0</v>
      </c>
      <c r="Z31" s="2">
        <v>0</v>
      </c>
      <c r="AA31" s="2">
        <v>0</v>
      </c>
      <c r="AB31" s="2"/>
      <c r="AC31" s="2">
        <v>0</v>
      </c>
      <c r="AD31" s="2"/>
      <c r="AE31" s="2" t="s">
        <v>46</v>
      </c>
      <c r="AF31" s="2">
        <v>0</v>
      </c>
      <c r="AG31" s="2">
        <v>0</v>
      </c>
      <c r="AH31" s="2"/>
      <c r="AI31" s="2" t="s">
        <v>43</v>
      </c>
      <c r="AJ31" s="2">
        <v>0</v>
      </c>
      <c r="AK31" s="2">
        <v>0</v>
      </c>
      <c r="AL31" s="2"/>
      <c r="AM31" s="2">
        <v>0</v>
      </c>
      <c r="AN31" s="2">
        <v>0</v>
      </c>
      <c r="AO31" s="2"/>
      <c r="AP31" s="2"/>
      <c r="AQ31" s="2" t="s">
        <v>48</v>
      </c>
      <c r="AR31" s="2" t="s">
        <v>943</v>
      </c>
      <c r="AS31" s="2" t="s">
        <v>1319</v>
      </c>
      <c r="AT31" s="2" t="s">
        <v>1320</v>
      </c>
      <c r="AU31" s="2" t="s">
        <v>1324</v>
      </c>
      <c r="AV31" s="2" t="s">
        <v>1137</v>
      </c>
      <c r="AW31" s="2">
        <v>4.3905035781999997</v>
      </c>
      <c r="AX31" s="2">
        <v>50.853988026800003</v>
      </c>
    </row>
    <row r="32" spans="2:50" x14ac:dyDescent="0.25">
      <c r="B32" s="2">
        <v>284</v>
      </c>
      <c r="C32" s="2">
        <v>2155770</v>
      </c>
      <c r="D32" s="2" t="s">
        <v>823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17</v>
      </c>
      <c r="N32" s="2">
        <v>0</v>
      </c>
      <c r="O32" s="2">
        <v>0</v>
      </c>
      <c r="P32" s="2">
        <v>0</v>
      </c>
      <c r="Q32" s="2">
        <f>SUM(parking_data_1030[[#This Row],[Résidenti]:[Autres]])</f>
        <v>17</v>
      </c>
      <c r="R32" s="2">
        <v>12</v>
      </c>
      <c r="S32" s="2">
        <v>12</v>
      </c>
      <c r="T32" s="2" t="s">
        <v>43</v>
      </c>
      <c r="U32" s="2" t="s">
        <v>44</v>
      </c>
      <c r="V32" s="2" t="s">
        <v>59</v>
      </c>
      <c r="W32" s="2">
        <v>1</v>
      </c>
      <c r="X32" s="2">
        <v>0</v>
      </c>
      <c r="Y32" s="2">
        <v>0</v>
      </c>
      <c r="Z32" s="2">
        <v>0</v>
      </c>
      <c r="AA32" s="2">
        <v>1</v>
      </c>
      <c r="AB32" s="2"/>
      <c r="AC32" s="2">
        <v>86</v>
      </c>
      <c r="AD32" s="2"/>
      <c r="AE32" s="2" t="s">
        <v>46</v>
      </c>
      <c r="AF32" s="2">
        <v>0</v>
      </c>
      <c r="AG32" s="2">
        <v>0</v>
      </c>
      <c r="AH32" s="2" t="s">
        <v>824</v>
      </c>
      <c r="AI32" s="2" t="s">
        <v>43</v>
      </c>
      <c r="AJ32" s="2">
        <v>0</v>
      </c>
      <c r="AK32" s="2">
        <v>17</v>
      </c>
      <c r="AL32" s="2"/>
      <c r="AM32" s="2">
        <v>0</v>
      </c>
      <c r="AN32" s="2">
        <v>0</v>
      </c>
      <c r="AO32" s="2"/>
      <c r="AP32" s="2"/>
      <c r="AQ32" s="2" t="s">
        <v>48</v>
      </c>
      <c r="AR32" s="2" t="s">
        <v>1077</v>
      </c>
      <c r="AS32" s="2" t="s">
        <v>1319</v>
      </c>
      <c r="AT32" s="2" t="s">
        <v>1320</v>
      </c>
      <c r="AU32" s="2" t="s">
        <v>1341</v>
      </c>
      <c r="AV32" s="2" t="s">
        <v>1137</v>
      </c>
      <c r="AW32" s="2">
        <v>4.3886331972999999</v>
      </c>
      <c r="AX32" s="2">
        <v>50.855870103199997</v>
      </c>
    </row>
    <row r="33" spans="2:50" x14ac:dyDescent="0.25">
      <c r="B33" s="2">
        <v>285</v>
      </c>
      <c r="C33" s="2">
        <v>2153649</v>
      </c>
      <c r="D33" s="2" t="s">
        <v>817</v>
      </c>
      <c r="E33" s="2">
        <v>0</v>
      </c>
      <c r="F33" s="2">
        <v>0</v>
      </c>
      <c r="G33" s="2">
        <v>0</v>
      </c>
      <c r="H33" s="2">
        <v>0</v>
      </c>
      <c r="I33" s="2">
        <v>20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f>SUM(parking_data_1030[[#This Row],[Résidenti]:[Autres]])</f>
        <v>20</v>
      </c>
      <c r="R33" s="2">
        <v>20</v>
      </c>
      <c r="S33" s="2">
        <v>20</v>
      </c>
      <c r="T33" s="2" t="s">
        <v>43</v>
      </c>
      <c r="U33" s="2" t="s">
        <v>44</v>
      </c>
      <c r="V33" s="2" t="s">
        <v>45</v>
      </c>
      <c r="W33" s="2">
        <v>1</v>
      </c>
      <c r="X33" s="2">
        <v>0</v>
      </c>
      <c r="Y33" s="2">
        <v>1</v>
      </c>
      <c r="Z33" s="2">
        <v>0</v>
      </c>
      <c r="AA33" s="2">
        <v>0</v>
      </c>
      <c r="AB33" s="2"/>
      <c r="AC33" s="2">
        <v>73</v>
      </c>
      <c r="AD33" s="2"/>
      <c r="AE33" s="2" t="s">
        <v>46</v>
      </c>
      <c r="AF33" s="2">
        <v>0</v>
      </c>
      <c r="AG33" s="2">
        <v>0</v>
      </c>
      <c r="AH33" s="2"/>
      <c r="AI33" s="2" t="s">
        <v>43</v>
      </c>
      <c r="AJ33" s="2">
        <v>0</v>
      </c>
      <c r="AK33" s="2">
        <v>20</v>
      </c>
      <c r="AL33" s="2"/>
      <c r="AM33" s="2">
        <v>0</v>
      </c>
      <c r="AN33" s="2">
        <v>0</v>
      </c>
      <c r="AO33" s="2"/>
      <c r="AP33" s="2"/>
      <c r="AQ33" s="2" t="s">
        <v>48</v>
      </c>
      <c r="AR33" s="2" t="s">
        <v>1030</v>
      </c>
      <c r="AS33" s="2" t="s">
        <v>1319</v>
      </c>
      <c r="AT33" s="2" t="s">
        <v>1320</v>
      </c>
      <c r="AU33" s="2" t="s">
        <v>1342</v>
      </c>
      <c r="AV33" s="2" t="s">
        <v>1137</v>
      </c>
      <c r="AW33" s="2">
        <v>4.3880209421999998</v>
      </c>
      <c r="AX33" s="2">
        <v>50.856422647400002</v>
      </c>
    </row>
    <row r="34" spans="2:50" x14ac:dyDescent="0.25">
      <c r="B34" s="2">
        <v>144</v>
      </c>
      <c r="C34" s="2">
        <v>2164688</v>
      </c>
      <c r="D34" s="2" t="s">
        <v>235</v>
      </c>
      <c r="E34" s="2">
        <v>0</v>
      </c>
      <c r="F34" s="2">
        <v>16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f>SUM(parking_data_1030[[#This Row],[Résidenti]:[Autres]])</f>
        <v>16</v>
      </c>
      <c r="R34" s="2">
        <v>0</v>
      </c>
      <c r="S34" s="2">
        <v>0</v>
      </c>
      <c r="T34" s="2" t="s">
        <v>43</v>
      </c>
      <c r="U34" s="2" t="s">
        <v>76</v>
      </c>
      <c r="V34" s="2" t="s">
        <v>45</v>
      </c>
      <c r="W34" s="2">
        <v>0</v>
      </c>
      <c r="X34" s="2">
        <v>1</v>
      </c>
      <c r="Y34" s="2">
        <v>0</v>
      </c>
      <c r="Z34" s="2">
        <v>1</v>
      </c>
      <c r="AA34" s="2">
        <v>0</v>
      </c>
      <c r="AB34" s="2"/>
      <c r="AC34" s="2">
        <v>0</v>
      </c>
      <c r="AD34" s="2"/>
      <c r="AE34" s="2" t="s">
        <v>46</v>
      </c>
      <c r="AF34" s="2">
        <v>0</v>
      </c>
      <c r="AG34" s="2">
        <v>0</v>
      </c>
      <c r="AH34" s="2" t="s">
        <v>120</v>
      </c>
      <c r="AI34" s="2" t="s">
        <v>43</v>
      </c>
      <c r="AJ34" s="2">
        <v>0</v>
      </c>
      <c r="AK34" s="2">
        <v>16</v>
      </c>
      <c r="AL34" s="2"/>
      <c r="AM34" s="2">
        <v>0</v>
      </c>
      <c r="AN34" s="2">
        <v>0</v>
      </c>
      <c r="AO34" s="2"/>
      <c r="AP34" s="2"/>
      <c r="AQ34" s="2" t="s">
        <v>48</v>
      </c>
      <c r="AR34" s="2" t="s">
        <v>857</v>
      </c>
      <c r="AS34" s="2" t="s">
        <v>866</v>
      </c>
      <c r="AT34" s="2" t="s">
        <v>867</v>
      </c>
      <c r="AU34" s="2" t="s">
        <v>878</v>
      </c>
      <c r="AV34" s="2" t="s">
        <v>869</v>
      </c>
      <c r="AW34" s="2">
        <v>4.3998514975000003</v>
      </c>
      <c r="AX34" s="2">
        <v>50.854211146300003</v>
      </c>
    </row>
    <row r="35" spans="2:50" x14ac:dyDescent="0.25">
      <c r="B35" s="2">
        <v>145</v>
      </c>
      <c r="C35" s="2">
        <v>2164692</v>
      </c>
      <c r="D35" s="2" t="s">
        <v>236</v>
      </c>
      <c r="E35" s="2">
        <v>0</v>
      </c>
      <c r="F35" s="2">
        <v>0</v>
      </c>
      <c r="G35" s="2">
        <v>24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f>SUM(parking_data_1030[[#This Row],[Résidenti]:[Autres]])</f>
        <v>24</v>
      </c>
      <c r="R35" s="2">
        <v>0</v>
      </c>
      <c r="S35" s="2">
        <v>0</v>
      </c>
      <c r="T35" s="2" t="s">
        <v>43</v>
      </c>
      <c r="U35" s="2" t="s">
        <v>76</v>
      </c>
      <c r="V35" s="2" t="s">
        <v>45</v>
      </c>
      <c r="W35" s="2">
        <v>1</v>
      </c>
      <c r="X35" s="2">
        <v>0</v>
      </c>
      <c r="Y35" s="2">
        <v>0</v>
      </c>
      <c r="Z35" s="2">
        <v>0</v>
      </c>
      <c r="AA35" s="2">
        <v>0</v>
      </c>
      <c r="AB35" s="2"/>
      <c r="AC35" s="2">
        <v>0</v>
      </c>
      <c r="AD35" s="2"/>
      <c r="AE35" s="2" t="s">
        <v>46</v>
      </c>
      <c r="AF35" s="2">
        <v>0</v>
      </c>
      <c r="AG35" s="2">
        <v>0</v>
      </c>
      <c r="AH35" s="2" t="s">
        <v>237</v>
      </c>
      <c r="AI35" s="2" t="s">
        <v>43</v>
      </c>
      <c r="AJ35" s="2">
        <v>0</v>
      </c>
      <c r="AK35" s="2">
        <v>24</v>
      </c>
      <c r="AL35" s="2"/>
      <c r="AM35" s="2">
        <v>0</v>
      </c>
      <c r="AN35" s="2">
        <v>0</v>
      </c>
      <c r="AO35" s="2"/>
      <c r="AP35" s="2"/>
      <c r="AQ35" s="2" t="s">
        <v>48</v>
      </c>
      <c r="AR35" s="2" t="s">
        <v>990</v>
      </c>
      <c r="AS35" s="2" t="s">
        <v>866</v>
      </c>
      <c r="AT35" s="2" t="s">
        <v>867</v>
      </c>
      <c r="AU35" s="2" t="s">
        <v>878</v>
      </c>
      <c r="AV35" s="2" t="s">
        <v>869</v>
      </c>
      <c r="AW35" s="2">
        <v>4.3998246913000001</v>
      </c>
      <c r="AX35" s="2">
        <v>50.854350923399998</v>
      </c>
    </row>
    <row r="36" spans="2:50" x14ac:dyDescent="0.25">
      <c r="B36" s="2">
        <v>146</v>
      </c>
      <c r="C36" s="2">
        <v>2134937</v>
      </c>
      <c r="D36" s="2" t="s">
        <v>238</v>
      </c>
      <c r="E36" s="2">
        <v>0</v>
      </c>
      <c r="F36" s="2">
        <v>0</v>
      </c>
      <c r="G36" s="2">
        <v>0</v>
      </c>
      <c r="H36" s="2">
        <v>420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f>SUM(parking_data_1030[[#This Row],[Résidenti]:[Autres]])</f>
        <v>420</v>
      </c>
      <c r="R36" s="2">
        <v>0</v>
      </c>
      <c r="S36" s="2">
        <v>0</v>
      </c>
      <c r="T36" s="2" t="s">
        <v>43</v>
      </c>
      <c r="U36" s="2" t="s">
        <v>76</v>
      </c>
      <c r="V36" s="2" t="s">
        <v>45</v>
      </c>
      <c r="W36" s="2">
        <v>1</v>
      </c>
      <c r="X36" s="2">
        <v>1</v>
      </c>
      <c r="Y36" s="2">
        <v>1</v>
      </c>
      <c r="Z36" s="2">
        <v>0</v>
      </c>
      <c r="AA36" s="2">
        <v>1</v>
      </c>
      <c r="AB36" s="2"/>
      <c r="AC36" s="2">
        <v>0</v>
      </c>
      <c r="AD36" s="3">
        <v>49364</v>
      </c>
      <c r="AE36" s="2" t="s">
        <v>46</v>
      </c>
      <c r="AF36" s="2">
        <v>14294</v>
      </c>
      <c r="AG36" s="2">
        <v>143</v>
      </c>
      <c r="AH36" s="2"/>
      <c r="AI36" s="2" t="s">
        <v>43</v>
      </c>
      <c r="AJ36" s="2">
        <v>-277</v>
      </c>
      <c r="AK36" s="2">
        <v>420</v>
      </c>
      <c r="AL36" s="2"/>
      <c r="AM36" s="2">
        <v>9</v>
      </c>
      <c r="AN36" s="2">
        <v>0</v>
      </c>
      <c r="AO36" s="2" t="s">
        <v>239</v>
      </c>
      <c r="AP36" s="2"/>
      <c r="AQ36" s="2" t="s">
        <v>70</v>
      </c>
      <c r="AR36" s="2" t="s">
        <v>865</v>
      </c>
      <c r="AS36" s="2" t="s">
        <v>866</v>
      </c>
      <c r="AT36" s="2" t="s">
        <v>867</v>
      </c>
      <c r="AU36" s="2" t="s">
        <v>868</v>
      </c>
      <c r="AV36" s="2" t="s">
        <v>869</v>
      </c>
      <c r="AW36" s="2">
        <v>4.4015361716000001</v>
      </c>
      <c r="AX36" s="2">
        <v>50.851760700900002</v>
      </c>
    </row>
    <row r="37" spans="2:50" x14ac:dyDescent="0.25">
      <c r="B37" s="2">
        <v>147</v>
      </c>
      <c r="C37" s="2">
        <v>2134515</v>
      </c>
      <c r="D37" s="2" t="s">
        <v>240</v>
      </c>
      <c r="E37" s="2">
        <v>0</v>
      </c>
      <c r="F37" s="2">
        <v>0</v>
      </c>
      <c r="G37" s="2">
        <v>0</v>
      </c>
      <c r="H37" s="2">
        <v>76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200</v>
      </c>
      <c r="P37" s="2">
        <v>0</v>
      </c>
      <c r="Q37" s="2">
        <f>SUM(parking_data_1030[[#This Row],[Résidenti]:[Autres]])</f>
        <v>276</v>
      </c>
      <c r="R37" s="2">
        <v>200</v>
      </c>
      <c r="S37" s="2">
        <v>0</v>
      </c>
      <c r="T37" s="2" t="s">
        <v>43</v>
      </c>
      <c r="U37" s="2" t="s">
        <v>76</v>
      </c>
      <c r="V37" s="2" t="s">
        <v>45</v>
      </c>
      <c r="W37" s="2">
        <v>1</v>
      </c>
      <c r="X37" s="2">
        <v>1</v>
      </c>
      <c r="Y37" s="2">
        <v>1</v>
      </c>
      <c r="Z37" s="2">
        <v>0</v>
      </c>
      <c r="AA37" s="2">
        <v>0</v>
      </c>
      <c r="AB37" s="2"/>
      <c r="AC37" s="2">
        <v>0</v>
      </c>
      <c r="AD37" s="3">
        <v>45276</v>
      </c>
      <c r="AE37" s="2" t="s">
        <v>46</v>
      </c>
      <c r="AF37" s="2">
        <v>23887</v>
      </c>
      <c r="AG37" s="2">
        <v>239</v>
      </c>
      <c r="AH37" s="2" t="s">
        <v>241</v>
      </c>
      <c r="AI37" s="2" t="s">
        <v>43</v>
      </c>
      <c r="AJ37" s="2">
        <v>163</v>
      </c>
      <c r="AK37" s="2">
        <v>276</v>
      </c>
      <c r="AL37" s="2"/>
      <c r="AM37" s="2">
        <v>0</v>
      </c>
      <c r="AN37" s="2">
        <v>0</v>
      </c>
      <c r="AO37" s="2"/>
      <c r="AP37" s="2"/>
      <c r="AQ37" s="2" t="s">
        <v>48</v>
      </c>
      <c r="AR37" s="2" t="s">
        <v>893</v>
      </c>
      <c r="AS37" s="2" t="s">
        <v>866</v>
      </c>
      <c r="AT37" s="2" t="s">
        <v>867</v>
      </c>
      <c r="AU37" s="2" t="s">
        <v>868</v>
      </c>
      <c r="AV37" s="2" t="s">
        <v>869</v>
      </c>
      <c r="AW37" s="2">
        <v>4.4020402551000002</v>
      </c>
      <c r="AX37" s="2">
        <v>50.851114725000002</v>
      </c>
    </row>
    <row r="38" spans="2:50" x14ac:dyDescent="0.25">
      <c r="B38" s="2">
        <v>158</v>
      </c>
      <c r="C38" s="2">
        <v>3000589</v>
      </c>
      <c r="D38" s="2" t="s">
        <v>233</v>
      </c>
      <c r="E38" s="2">
        <v>20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f>SUM(parking_data_1030[[#This Row],[Résidenti]:[Autres]])</f>
        <v>20</v>
      </c>
      <c r="R38" s="2">
        <v>0</v>
      </c>
      <c r="S38" s="2">
        <v>0</v>
      </c>
      <c r="T38" s="2" t="s">
        <v>43</v>
      </c>
      <c r="U38" s="2" t="s">
        <v>54</v>
      </c>
      <c r="V38" s="2" t="s">
        <v>45</v>
      </c>
      <c r="W38" s="2">
        <v>1</v>
      </c>
      <c r="X38" s="2">
        <v>1</v>
      </c>
      <c r="Y38" s="2">
        <v>0</v>
      </c>
      <c r="Z38" s="2">
        <v>0</v>
      </c>
      <c r="AA38" s="2">
        <v>0</v>
      </c>
      <c r="AB38" s="2"/>
      <c r="AC38" s="2">
        <v>0</v>
      </c>
      <c r="AD38" s="2"/>
      <c r="AE38" s="2" t="s">
        <v>46</v>
      </c>
      <c r="AF38" s="2">
        <v>0</v>
      </c>
      <c r="AG38" s="2">
        <v>0</v>
      </c>
      <c r="AH38" s="2"/>
      <c r="AI38" s="2" t="s">
        <v>43</v>
      </c>
      <c r="AJ38" s="2">
        <v>0</v>
      </c>
      <c r="AK38" s="2">
        <v>0</v>
      </c>
      <c r="AL38" s="2"/>
      <c r="AM38" s="2">
        <v>0</v>
      </c>
      <c r="AN38" s="2">
        <v>0</v>
      </c>
      <c r="AO38" s="2"/>
      <c r="AP38" s="2"/>
      <c r="AQ38" s="2" t="s">
        <v>48</v>
      </c>
      <c r="AR38" s="2" t="s">
        <v>1164</v>
      </c>
      <c r="AS38" s="2" t="s">
        <v>866</v>
      </c>
      <c r="AT38" s="2" t="s">
        <v>867</v>
      </c>
      <c r="AU38" s="2" t="s">
        <v>1163</v>
      </c>
      <c r="AV38" s="2" t="s">
        <v>1157</v>
      </c>
      <c r="AW38" s="2">
        <v>4.4039724954999997</v>
      </c>
      <c r="AX38" s="2">
        <v>50.847620754499999</v>
      </c>
    </row>
    <row r="39" spans="2:50" x14ac:dyDescent="0.25">
      <c r="B39" s="2">
        <v>159</v>
      </c>
      <c r="C39" s="2">
        <v>10005285</v>
      </c>
      <c r="D39" s="2" t="s">
        <v>234</v>
      </c>
      <c r="E39" s="2">
        <v>0</v>
      </c>
      <c r="F39" s="2">
        <v>24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f>SUM(parking_data_1030[[#This Row],[Résidenti]:[Autres]])</f>
        <v>24</v>
      </c>
      <c r="R39" s="2">
        <v>0</v>
      </c>
      <c r="S39" s="2">
        <v>0</v>
      </c>
      <c r="T39" s="2" t="s">
        <v>79</v>
      </c>
      <c r="U39" s="2" t="s">
        <v>76</v>
      </c>
      <c r="V39" s="2" t="s">
        <v>45</v>
      </c>
      <c r="W39" s="2">
        <v>1</v>
      </c>
      <c r="X39" s="2">
        <v>1</v>
      </c>
      <c r="Y39" s="2">
        <v>0</v>
      </c>
      <c r="Z39" s="2">
        <v>0</v>
      </c>
      <c r="AA39" s="2">
        <v>0</v>
      </c>
      <c r="AB39" s="2"/>
      <c r="AC39" s="2">
        <v>0</v>
      </c>
      <c r="AD39" s="2"/>
      <c r="AE39" s="2" t="s">
        <v>46</v>
      </c>
      <c r="AF39" s="2">
        <v>0</v>
      </c>
      <c r="AG39" s="2">
        <v>0</v>
      </c>
      <c r="AH39" s="2"/>
      <c r="AI39" s="2" t="s">
        <v>43</v>
      </c>
      <c r="AJ39" s="2">
        <v>0</v>
      </c>
      <c r="AK39" s="2">
        <v>24</v>
      </c>
      <c r="AL39" s="2"/>
      <c r="AM39" s="2">
        <v>0</v>
      </c>
      <c r="AN39" s="2">
        <v>0</v>
      </c>
      <c r="AO39" s="2"/>
      <c r="AP39" s="2"/>
      <c r="AQ39" s="2" t="s">
        <v>48</v>
      </c>
      <c r="AR39" s="2" t="s">
        <v>898</v>
      </c>
      <c r="AS39" s="2" t="s">
        <v>866</v>
      </c>
      <c r="AT39" s="2" t="s">
        <v>867</v>
      </c>
      <c r="AU39" s="2" t="s">
        <v>1163</v>
      </c>
      <c r="AV39" s="2" t="s">
        <v>1157</v>
      </c>
      <c r="AW39" s="2">
        <v>4.4036763392999996</v>
      </c>
      <c r="AX39" s="2">
        <v>50.8477083601</v>
      </c>
    </row>
    <row r="40" spans="2:50" x14ac:dyDescent="0.25">
      <c r="B40" s="2">
        <v>160</v>
      </c>
      <c r="C40" s="2">
        <v>1167696</v>
      </c>
      <c r="D40" s="2" t="s">
        <v>304</v>
      </c>
      <c r="E40" s="2">
        <v>12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f>SUM(parking_data_1030[[#This Row],[Résidenti]:[Autres]])</f>
        <v>12</v>
      </c>
      <c r="R40" s="2">
        <v>0</v>
      </c>
      <c r="S40" s="2">
        <v>0</v>
      </c>
      <c r="T40" s="2" t="s">
        <v>43</v>
      </c>
      <c r="U40" s="2" t="s">
        <v>54</v>
      </c>
      <c r="V40" s="2" t="s">
        <v>45</v>
      </c>
      <c r="W40" s="2">
        <v>1</v>
      </c>
      <c r="X40" s="2">
        <v>1</v>
      </c>
      <c r="Y40" s="2">
        <v>0</v>
      </c>
      <c r="Z40" s="2">
        <v>0</v>
      </c>
      <c r="AA40" s="2">
        <v>0</v>
      </c>
      <c r="AB40" s="2"/>
      <c r="AC40" s="2">
        <v>0</v>
      </c>
      <c r="AD40" s="2"/>
      <c r="AE40" s="2" t="s">
        <v>46</v>
      </c>
      <c r="AF40" s="2">
        <v>0</v>
      </c>
      <c r="AG40" s="2">
        <v>0</v>
      </c>
      <c r="AH40" s="2"/>
      <c r="AI40" s="2" t="s">
        <v>43</v>
      </c>
      <c r="AJ40" s="2">
        <v>0</v>
      </c>
      <c r="AK40" s="2">
        <v>0</v>
      </c>
      <c r="AL40" s="2"/>
      <c r="AM40" s="2">
        <v>0</v>
      </c>
      <c r="AN40" s="2">
        <v>0</v>
      </c>
      <c r="AO40" s="2"/>
      <c r="AP40" s="2"/>
      <c r="AQ40" s="2" t="s">
        <v>48</v>
      </c>
      <c r="AR40" s="2" t="s">
        <v>1165</v>
      </c>
      <c r="AS40" s="2" t="s">
        <v>866</v>
      </c>
      <c r="AT40" s="2" t="s">
        <v>867</v>
      </c>
      <c r="AU40" s="2" t="s">
        <v>1163</v>
      </c>
      <c r="AV40" s="2" t="s">
        <v>1157</v>
      </c>
      <c r="AW40" s="2">
        <v>4.4035660097999996</v>
      </c>
      <c r="AX40" s="2">
        <v>50.848053454099997</v>
      </c>
    </row>
    <row r="41" spans="2:50" x14ac:dyDescent="0.25">
      <c r="B41" s="2">
        <v>183</v>
      </c>
      <c r="C41" s="2">
        <v>1166714</v>
      </c>
      <c r="D41" s="2" t="s">
        <v>292</v>
      </c>
      <c r="E41" s="2">
        <v>21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f>SUM(parking_data_1030[[#This Row],[Résidenti]:[Autres]])</f>
        <v>21</v>
      </c>
      <c r="R41" s="2">
        <v>0</v>
      </c>
      <c r="S41" s="2">
        <v>0</v>
      </c>
      <c r="T41" s="2" t="s">
        <v>43</v>
      </c>
      <c r="U41" s="2" t="s">
        <v>54</v>
      </c>
      <c r="V41" s="2" t="s">
        <v>59</v>
      </c>
      <c r="W41" s="2">
        <v>1</v>
      </c>
      <c r="X41" s="2">
        <v>1</v>
      </c>
      <c r="Y41" s="2">
        <v>0</v>
      </c>
      <c r="Z41" s="2">
        <v>0</v>
      </c>
      <c r="AA41" s="2">
        <v>0</v>
      </c>
      <c r="AB41" s="2"/>
      <c r="AC41" s="2">
        <v>0</v>
      </c>
      <c r="AD41" s="2"/>
      <c r="AE41" s="2" t="s">
        <v>46</v>
      </c>
      <c r="AF41" s="2">
        <v>0</v>
      </c>
      <c r="AG41" s="2">
        <v>0</v>
      </c>
      <c r="AH41" s="2"/>
      <c r="AI41" s="2" t="s">
        <v>43</v>
      </c>
      <c r="AJ41" s="2">
        <v>0</v>
      </c>
      <c r="AK41" s="2">
        <v>0</v>
      </c>
      <c r="AL41" s="2"/>
      <c r="AM41" s="2">
        <v>0</v>
      </c>
      <c r="AN41" s="2">
        <v>0</v>
      </c>
      <c r="AO41" s="2"/>
      <c r="AP41" s="2"/>
      <c r="AQ41" s="2" t="s">
        <v>48</v>
      </c>
      <c r="AR41" s="2" t="s">
        <v>1205</v>
      </c>
      <c r="AS41" s="2" t="s">
        <v>866</v>
      </c>
      <c r="AT41" s="2" t="s">
        <v>867</v>
      </c>
      <c r="AU41" s="2" t="s">
        <v>1201</v>
      </c>
      <c r="AV41" s="2" t="s">
        <v>1090</v>
      </c>
      <c r="AW41" s="2">
        <v>4.4022380076000003</v>
      </c>
      <c r="AX41" s="2">
        <v>50.848155741200003</v>
      </c>
    </row>
    <row r="42" spans="2:50" x14ac:dyDescent="0.25">
      <c r="B42" s="2">
        <v>184</v>
      </c>
      <c r="C42" s="2">
        <v>1166722</v>
      </c>
      <c r="D42" s="2" t="s">
        <v>267</v>
      </c>
      <c r="E42" s="2">
        <v>11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f>SUM(parking_data_1030[[#This Row],[Résidenti]:[Autres]])</f>
        <v>11</v>
      </c>
      <c r="R42" s="2">
        <v>0</v>
      </c>
      <c r="S42" s="2">
        <v>0</v>
      </c>
      <c r="T42" s="2" t="s">
        <v>43</v>
      </c>
      <c r="U42" s="2" t="s">
        <v>54</v>
      </c>
      <c r="V42" s="2" t="s">
        <v>45</v>
      </c>
      <c r="W42" s="2">
        <v>1</v>
      </c>
      <c r="X42" s="2">
        <v>1</v>
      </c>
      <c r="Y42" s="2">
        <v>0</v>
      </c>
      <c r="Z42" s="2">
        <v>0</v>
      </c>
      <c r="AA42" s="2">
        <v>0</v>
      </c>
      <c r="AB42" s="2"/>
      <c r="AC42" s="2">
        <v>0</v>
      </c>
      <c r="AD42" s="2"/>
      <c r="AE42" s="2" t="s">
        <v>46</v>
      </c>
      <c r="AF42" s="2">
        <v>0</v>
      </c>
      <c r="AG42" s="2">
        <v>0</v>
      </c>
      <c r="AH42" s="2"/>
      <c r="AI42" s="2" t="s">
        <v>43</v>
      </c>
      <c r="AJ42" s="2">
        <v>0</v>
      </c>
      <c r="AK42" s="2">
        <v>0</v>
      </c>
      <c r="AL42" s="2"/>
      <c r="AM42" s="2">
        <v>0</v>
      </c>
      <c r="AN42" s="2">
        <v>0</v>
      </c>
      <c r="AO42" s="2"/>
      <c r="AP42" s="2"/>
      <c r="AQ42" s="2" t="s">
        <v>48</v>
      </c>
      <c r="AR42" s="2" t="s">
        <v>1206</v>
      </c>
      <c r="AS42" s="2" t="s">
        <v>866</v>
      </c>
      <c r="AT42" s="2" t="s">
        <v>867</v>
      </c>
      <c r="AU42" s="2" t="s">
        <v>1201</v>
      </c>
      <c r="AV42" s="2" t="s">
        <v>1090</v>
      </c>
      <c r="AW42" s="2">
        <v>4.4025635707999999</v>
      </c>
      <c r="AX42" s="2">
        <v>50.847766827699999</v>
      </c>
    </row>
    <row r="43" spans="2:50" x14ac:dyDescent="0.25">
      <c r="B43" s="2">
        <v>193</v>
      </c>
      <c r="C43" s="2">
        <v>2159333</v>
      </c>
      <c r="D43" s="2" t="s">
        <v>171</v>
      </c>
      <c r="E43" s="2">
        <v>12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f>SUM(parking_data_1030[[#This Row],[Résidenti]:[Autres]])</f>
        <v>12</v>
      </c>
      <c r="R43" s="2">
        <v>0</v>
      </c>
      <c r="S43" s="2">
        <v>0</v>
      </c>
      <c r="T43" s="2" t="s">
        <v>43</v>
      </c>
      <c r="U43" s="2" t="s">
        <v>76</v>
      </c>
      <c r="V43" s="2" t="s">
        <v>45</v>
      </c>
      <c r="W43" s="2">
        <v>1</v>
      </c>
      <c r="X43" s="2">
        <v>1</v>
      </c>
      <c r="Y43" s="2">
        <v>0</v>
      </c>
      <c r="Z43" s="2">
        <v>0</v>
      </c>
      <c r="AA43" s="2">
        <v>0</v>
      </c>
      <c r="AB43" s="2"/>
      <c r="AC43" s="2">
        <v>0</v>
      </c>
      <c r="AD43" s="2"/>
      <c r="AE43" s="2" t="s">
        <v>46</v>
      </c>
      <c r="AF43" s="2">
        <v>0</v>
      </c>
      <c r="AG43" s="2">
        <v>0</v>
      </c>
      <c r="AH43" s="2"/>
      <c r="AI43" s="2" t="s">
        <v>43</v>
      </c>
      <c r="AJ43" s="2">
        <v>0</v>
      </c>
      <c r="AK43" s="2">
        <v>0</v>
      </c>
      <c r="AL43" s="2"/>
      <c r="AM43" s="2">
        <v>0</v>
      </c>
      <c r="AN43" s="2">
        <v>0</v>
      </c>
      <c r="AO43" s="2"/>
      <c r="AP43" s="2"/>
      <c r="AQ43" s="2" t="s">
        <v>48</v>
      </c>
      <c r="AR43" s="2" t="s">
        <v>1048</v>
      </c>
      <c r="AS43" s="2" t="s">
        <v>866</v>
      </c>
      <c r="AT43" s="2" t="s">
        <v>867</v>
      </c>
      <c r="AU43" s="2" t="s">
        <v>1213</v>
      </c>
      <c r="AV43" s="2" t="s">
        <v>1142</v>
      </c>
      <c r="AW43" s="2">
        <v>4.4014984489</v>
      </c>
      <c r="AX43" s="2">
        <v>50.8495712024</v>
      </c>
    </row>
    <row r="44" spans="2:50" x14ac:dyDescent="0.25">
      <c r="B44" s="2">
        <v>224</v>
      </c>
      <c r="C44" s="2">
        <v>2157870</v>
      </c>
      <c r="D44" s="2" t="s">
        <v>213</v>
      </c>
      <c r="E44" s="2">
        <v>13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f>SUM(parking_data_1030[[#This Row],[Résidenti]:[Autres]])</f>
        <v>13</v>
      </c>
      <c r="R44" s="2">
        <v>0</v>
      </c>
      <c r="S44" s="2">
        <v>0</v>
      </c>
      <c r="T44" s="2" t="s">
        <v>43</v>
      </c>
      <c r="U44" s="2" t="s">
        <v>44</v>
      </c>
      <c r="V44" s="2" t="s">
        <v>45</v>
      </c>
      <c r="W44" s="2">
        <v>1</v>
      </c>
      <c r="X44" s="2">
        <v>1</v>
      </c>
      <c r="Y44" s="2">
        <v>0</v>
      </c>
      <c r="Z44" s="2">
        <v>0</v>
      </c>
      <c r="AA44" s="2">
        <v>0</v>
      </c>
      <c r="AB44" s="2"/>
      <c r="AC44" s="2">
        <v>0</v>
      </c>
      <c r="AD44" s="2"/>
      <c r="AE44" s="2" t="s">
        <v>46</v>
      </c>
      <c r="AF44" s="2">
        <v>0</v>
      </c>
      <c r="AG44" s="2">
        <v>0</v>
      </c>
      <c r="AH44" s="2"/>
      <c r="AI44" s="2" t="s">
        <v>43</v>
      </c>
      <c r="AJ44" s="2">
        <v>0</v>
      </c>
      <c r="AK44" s="2">
        <v>0</v>
      </c>
      <c r="AL44" s="2"/>
      <c r="AM44" s="2">
        <v>0</v>
      </c>
      <c r="AN44" s="2">
        <v>0</v>
      </c>
      <c r="AO44" s="2"/>
      <c r="AP44" s="2"/>
      <c r="AQ44" s="2" t="s">
        <v>48</v>
      </c>
      <c r="AR44" s="2" t="s">
        <v>920</v>
      </c>
      <c r="AS44" s="2" t="s">
        <v>866</v>
      </c>
      <c r="AT44" s="2" t="s">
        <v>867</v>
      </c>
      <c r="AU44" s="2" t="s">
        <v>1252</v>
      </c>
      <c r="AV44" s="2" t="s">
        <v>1142</v>
      </c>
      <c r="AW44" s="2">
        <v>4.3991430735000003</v>
      </c>
      <c r="AX44" s="2">
        <v>50.853541161199999</v>
      </c>
    </row>
    <row r="45" spans="2:50" x14ac:dyDescent="0.25">
      <c r="B45" s="2">
        <v>452</v>
      </c>
      <c r="C45" s="2">
        <v>2134332</v>
      </c>
      <c r="D45" s="2" t="s">
        <v>558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1311</v>
      </c>
      <c r="N45" s="2">
        <v>0</v>
      </c>
      <c r="O45" s="2">
        <v>0</v>
      </c>
      <c r="P45" s="2">
        <v>0</v>
      </c>
      <c r="Q45" s="2">
        <f>SUM(parking_data_1030[[#This Row],[Résidenti]:[Autres]])</f>
        <v>1311</v>
      </c>
      <c r="R45" s="2">
        <v>0</v>
      </c>
      <c r="S45" s="2">
        <v>0</v>
      </c>
      <c r="T45" s="2" t="s">
        <v>43</v>
      </c>
      <c r="U45" s="2" t="s">
        <v>95</v>
      </c>
      <c r="V45" s="2" t="s">
        <v>59</v>
      </c>
      <c r="W45" s="2">
        <v>1</v>
      </c>
      <c r="X45" s="2">
        <v>0</v>
      </c>
      <c r="Y45" s="2">
        <v>1</v>
      </c>
      <c r="Z45" s="2">
        <v>0</v>
      </c>
      <c r="AA45" s="2">
        <v>1</v>
      </c>
      <c r="AB45" s="2"/>
      <c r="AC45" s="2">
        <v>0</v>
      </c>
      <c r="AD45" s="3">
        <v>49524</v>
      </c>
      <c r="AE45" s="2" t="s">
        <v>106</v>
      </c>
      <c r="AF45" s="2">
        <v>0</v>
      </c>
      <c r="AG45" s="2">
        <v>0</v>
      </c>
      <c r="AH45" s="2" t="s">
        <v>559</v>
      </c>
      <c r="AI45" s="2" t="s">
        <v>43</v>
      </c>
      <c r="AJ45" s="2">
        <v>0</v>
      </c>
      <c r="AK45" s="2">
        <v>1311</v>
      </c>
      <c r="AL45" s="2" t="s">
        <v>560</v>
      </c>
      <c r="AM45" s="2">
        <v>0</v>
      </c>
      <c r="AN45" s="2">
        <v>0</v>
      </c>
      <c r="AO45" s="2"/>
      <c r="AP45" s="2"/>
      <c r="AQ45" s="2" t="s">
        <v>48</v>
      </c>
      <c r="AR45" s="2" t="s">
        <v>845</v>
      </c>
      <c r="AS45" s="2" t="s">
        <v>866</v>
      </c>
      <c r="AT45" s="2" t="s">
        <v>867</v>
      </c>
      <c r="AU45" s="2" t="s">
        <v>1573</v>
      </c>
      <c r="AV45" s="2" t="s">
        <v>869</v>
      </c>
      <c r="AW45" s="2">
        <v>4.4026457323999999</v>
      </c>
      <c r="AX45" s="2">
        <v>50.852617310100001</v>
      </c>
    </row>
    <row r="46" spans="2:50" x14ac:dyDescent="0.25">
      <c r="B46" s="2">
        <v>453</v>
      </c>
      <c r="C46" s="2">
        <v>2134332</v>
      </c>
      <c r="D46" s="2" t="s">
        <v>558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629</v>
      </c>
      <c r="N46" s="2">
        <v>0</v>
      </c>
      <c r="O46" s="2">
        <v>0</v>
      </c>
      <c r="P46" s="2">
        <v>0</v>
      </c>
      <c r="Q46" s="2">
        <f>SUM(parking_data_1030[[#This Row],[Résidenti]:[Autres]])</f>
        <v>629</v>
      </c>
      <c r="R46" s="2">
        <v>0</v>
      </c>
      <c r="S46" s="2">
        <v>0</v>
      </c>
      <c r="T46" s="2" t="s">
        <v>43</v>
      </c>
      <c r="U46" s="2" t="s">
        <v>58</v>
      </c>
      <c r="V46" s="2" t="s">
        <v>59</v>
      </c>
      <c r="W46" s="2">
        <v>1</v>
      </c>
      <c r="X46" s="2">
        <v>0</v>
      </c>
      <c r="Y46" s="2">
        <v>1</v>
      </c>
      <c r="Z46" s="2">
        <v>0</v>
      </c>
      <c r="AA46" s="2">
        <v>1</v>
      </c>
      <c r="AB46" s="2"/>
      <c r="AC46" s="2">
        <v>0</v>
      </c>
      <c r="AD46" s="2"/>
      <c r="AE46" s="2" t="s">
        <v>106</v>
      </c>
      <c r="AF46" s="2">
        <v>0</v>
      </c>
      <c r="AG46" s="2">
        <v>0</v>
      </c>
      <c r="AH46" s="2" t="s">
        <v>559</v>
      </c>
      <c r="AI46" s="2" t="s">
        <v>43</v>
      </c>
      <c r="AJ46" s="2">
        <v>0</v>
      </c>
      <c r="AK46" s="2">
        <v>629</v>
      </c>
      <c r="AL46" s="2" t="s">
        <v>560</v>
      </c>
      <c r="AM46" s="2">
        <v>0</v>
      </c>
      <c r="AN46" s="2">
        <v>0</v>
      </c>
      <c r="AO46" s="2"/>
      <c r="AP46" s="2"/>
      <c r="AQ46" s="2" t="s">
        <v>48</v>
      </c>
      <c r="AR46" s="2" t="s">
        <v>845</v>
      </c>
      <c r="AS46" s="2" t="s">
        <v>866</v>
      </c>
      <c r="AT46" s="2" t="s">
        <v>867</v>
      </c>
      <c r="AU46" s="2" t="s">
        <v>1573</v>
      </c>
      <c r="AV46" s="2" t="s">
        <v>869</v>
      </c>
      <c r="AW46" s="2">
        <v>4.4026457323999999</v>
      </c>
      <c r="AX46" s="2">
        <v>50.852617310100001</v>
      </c>
    </row>
    <row r="47" spans="2:50" x14ac:dyDescent="0.25">
      <c r="B47" s="2">
        <v>13</v>
      </c>
      <c r="C47" s="2">
        <v>2188835</v>
      </c>
      <c r="D47" s="2" t="s">
        <v>66</v>
      </c>
      <c r="E47" s="2">
        <v>0</v>
      </c>
      <c r="F47" s="2">
        <v>0</v>
      </c>
      <c r="G47" s="2">
        <v>0</v>
      </c>
      <c r="H47" s="2">
        <v>28</v>
      </c>
      <c r="I47" s="2">
        <v>0</v>
      </c>
      <c r="J47" s="2">
        <v>8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f>SUM(parking_data_1030[[#This Row],[Résidenti]:[Autres]])</f>
        <v>36</v>
      </c>
      <c r="R47" s="2">
        <v>0</v>
      </c>
      <c r="S47" s="2">
        <v>0</v>
      </c>
      <c r="T47" s="2" t="s">
        <v>43</v>
      </c>
      <c r="U47" s="2" t="s">
        <v>58</v>
      </c>
      <c r="V47" s="2" t="s">
        <v>45</v>
      </c>
      <c r="W47" s="2">
        <v>1</v>
      </c>
      <c r="X47" s="2">
        <v>1</v>
      </c>
      <c r="Y47" s="2">
        <v>1</v>
      </c>
      <c r="Z47" s="2">
        <v>0</v>
      </c>
      <c r="AA47" s="2">
        <v>0</v>
      </c>
      <c r="AB47" s="2"/>
      <c r="AC47" s="2">
        <v>0</v>
      </c>
      <c r="AD47" s="3">
        <v>45283</v>
      </c>
      <c r="AE47" s="2" t="s">
        <v>52</v>
      </c>
      <c r="AF47" s="2">
        <v>520</v>
      </c>
      <c r="AG47" s="2">
        <v>4</v>
      </c>
      <c r="AH47" s="2" t="s">
        <v>67</v>
      </c>
      <c r="AI47" s="2" t="s">
        <v>43</v>
      </c>
      <c r="AJ47" s="2">
        <v>-24</v>
      </c>
      <c r="AK47" s="2">
        <v>36</v>
      </c>
      <c r="AL47" s="2" t="s">
        <v>68</v>
      </c>
      <c r="AM47" s="2">
        <v>1</v>
      </c>
      <c r="AN47" s="2">
        <v>0</v>
      </c>
      <c r="AO47" s="2" t="s">
        <v>69</v>
      </c>
      <c r="AP47" s="2"/>
      <c r="AQ47" s="2" t="s">
        <v>70</v>
      </c>
      <c r="AR47" s="2" t="s">
        <v>956</v>
      </c>
      <c r="AS47" s="2" t="s">
        <v>1064</v>
      </c>
      <c r="AT47" s="2" t="s">
        <v>1065</v>
      </c>
      <c r="AU47" s="2" t="s">
        <v>871</v>
      </c>
      <c r="AV47" s="2" t="s">
        <v>835</v>
      </c>
      <c r="AW47" s="2">
        <v>4.3838873810000001</v>
      </c>
      <c r="AX47" s="2">
        <v>50.879525166999997</v>
      </c>
    </row>
    <row r="48" spans="2:50" x14ac:dyDescent="0.25">
      <c r="B48" s="2">
        <v>81</v>
      </c>
      <c r="C48" s="2">
        <v>2163304</v>
      </c>
      <c r="D48" s="2" t="s">
        <v>689</v>
      </c>
      <c r="E48" s="2">
        <v>24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f>SUM(parking_data_1030[[#This Row],[Résidenti]:[Autres]])</f>
        <v>24</v>
      </c>
      <c r="R48" s="2">
        <v>0</v>
      </c>
      <c r="S48" s="2">
        <v>0</v>
      </c>
      <c r="T48" s="2" t="s">
        <v>43</v>
      </c>
      <c r="U48" s="2" t="s">
        <v>54</v>
      </c>
      <c r="V48" s="2" t="s">
        <v>45</v>
      </c>
      <c r="W48" s="2">
        <v>1</v>
      </c>
      <c r="X48" s="2">
        <v>1</v>
      </c>
      <c r="Y48" s="2">
        <v>0</v>
      </c>
      <c r="Z48" s="2">
        <v>0</v>
      </c>
      <c r="AA48" s="2">
        <v>0</v>
      </c>
      <c r="AB48" s="2"/>
      <c r="AC48" s="2">
        <v>0</v>
      </c>
      <c r="AD48" s="2"/>
      <c r="AE48" s="2" t="s">
        <v>46</v>
      </c>
      <c r="AF48" s="2">
        <v>0</v>
      </c>
      <c r="AG48" s="2">
        <v>0</v>
      </c>
      <c r="AH48" s="2"/>
      <c r="AI48" s="2" t="s">
        <v>43</v>
      </c>
      <c r="AJ48" s="2">
        <v>0</v>
      </c>
      <c r="AK48" s="2">
        <v>0</v>
      </c>
      <c r="AL48" s="2"/>
      <c r="AM48" s="2">
        <v>0</v>
      </c>
      <c r="AN48" s="2">
        <v>0</v>
      </c>
      <c r="AO48" s="2"/>
      <c r="AP48" s="2"/>
      <c r="AQ48" s="2" t="s">
        <v>48</v>
      </c>
      <c r="AR48" s="2" t="s">
        <v>1030</v>
      </c>
      <c r="AS48" s="2" t="s">
        <v>1031</v>
      </c>
      <c r="AT48" s="2" t="s">
        <v>1032</v>
      </c>
      <c r="AU48" s="2" t="s">
        <v>1033</v>
      </c>
      <c r="AV48" s="2" t="s">
        <v>1000</v>
      </c>
      <c r="AW48" s="2">
        <v>4.3885157031000004</v>
      </c>
      <c r="AX48" s="2">
        <v>50.866398630399999</v>
      </c>
    </row>
    <row r="49" spans="2:50" x14ac:dyDescent="0.25">
      <c r="B49" s="2">
        <v>82</v>
      </c>
      <c r="C49" s="2">
        <v>2133982</v>
      </c>
      <c r="D49" s="2" t="s">
        <v>690</v>
      </c>
      <c r="E49" s="2">
        <v>12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f>SUM(parking_data_1030[[#This Row],[Résidenti]:[Autres]])</f>
        <v>12</v>
      </c>
      <c r="R49" s="2">
        <v>0</v>
      </c>
      <c r="S49" s="2">
        <v>0</v>
      </c>
      <c r="T49" s="2" t="s">
        <v>43</v>
      </c>
      <c r="U49" s="2" t="s">
        <v>76</v>
      </c>
      <c r="V49" s="2" t="s">
        <v>45</v>
      </c>
      <c r="W49" s="2">
        <v>1</v>
      </c>
      <c r="X49" s="2">
        <v>1</v>
      </c>
      <c r="Y49" s="2">
        <v>0</v>
      </c>
      <c r="Z49" s="2">
        <v>0</v>
      </c>
      <c r="AA49" s="2">
        <v>0</v>
      </c>
      <c r="AB49" s="2"/>
      <c r="AC49" s="2">
        <v>0</v>
      </c>
      <c r="AD49" s="3">
        <v>48595</v>
      </c>
      <c r="AE49" s="2" t="s">
        <v>46</v>
      </c>
      <c r="AF49" s="2">
        <v>0</v>
      </c>
      <c r="AG49" s="2">
        <v>0</v>
      </c>
      <c r="AH49" s="2"/>
      <c r="AI49" s="2" t="s">
        <v>43</v>
      </c>
      <c r="AJ49" s="2">
        <v>0</v>
      </c>
      <c r="AK49" s="2">
        <v>0</v>
      </c>
      <c r="AL49" s="2"/>
      <c r="AM49" s="2">
        <v>0</v>
      </c>
      <c r="AN49" s="2">
        <v>0</v>
      </c>
      <c r="AO49" s="2"/>
      <c r="AP49" s="2"/>
      <c r="AQ49" s="2" t="s">
        <v>48</v>
      </c>
      <c r="AR49" s="2" t="s">
        <v>1034</v>
      </c>
      <c r="AS49" s="2" t="s">
        <v>1031</v>
      </c>
      <c r="AT49" s="2" t="s">
        <v>1032</v>
      </c>
      <c r="AU49" s="2" t="s">
        <v>1033</v>
      </c>
      <c r="AV49" s="2" t="s">
        <v>1000</v>
      </c>
      <c r="AW49" s="2">
        <v>4.3891732623999999</v>
      </c>
      <c r="AX49" s="2">
        <v>50.866402477100003</v>
      </c>
    </row>
    <row r="50" spans="2:50" x14ac:dyDescent="0.25">
      <c r="B50" s="2">
        <v>106</v>
      </c>
      <c r="C50" s="2">
        <v>2163503</v>
      </c>
      <c r="D50" s="2" t="s">
        <v>742</v>
      </c>
      <c r="E50" s="2">
        <v>26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f>SUM(parking_data_1030[[#This Row],[Résidenti]:[Autres]])</f>
        <v>26</v>
      </c>
      <c r="R50" s="2">
        <v>0</v>
      </c>
      <c r="S50" s="2">
        <v>0</v>
      </c>
      <c r="T50" s="2" t="s">
        <v>43</v>
      </c>
      <c r="U50" s="2" t="s">
        <v>229</v>
      </c>
      <c r="V50" s="2" t="s">
        <v>45</v>
      </c>
      <c r="W50" s="2">
        <v>0</v>
      </c>
      <c r="X50" s="2">
        <v>1</v>
      </c>
      <c r="Y50" s="2">
        <v>0</v>
      </c>
      <c r="Z50" s="2">
        <v>1</v>
      </c>
      <c r="AA50" s="2">
        <v>0</v>
      </c>
      <c r="AB50" s="2"/>
      <c r="AC50" s="2">
        <v>0</v>
      </c>
      <c r="AD50" s="2"/>
      <c r="AE50" s="2" t="s">
        <v>106</v>
      </c>
      <c r="AF50" s="2">
        <v>0</v>
      </c>
      <c r="AG50" s="2">
        <v>0</v>
      </c>
      <c r="AH50" s="2" t="s">
        <v>55</v>
      </c>
      <c r="AI50" s="2" t="s">
        <v>43</v>
      </c>
      <c r="AJ50" s="2">
        <v>0</v>
      </c>
      <c r="AK50" s="2">
        <v>0</v>
      </c>
      <c r="AL50" s="2"/>
      <c r="AM50" s="2">
        <v>0</v>
      </c>
      <c r="AN50" s="2">
        <v>0</v>
      </c>
      <c r="AO50" s="2"/>
      <c r="AP50" s="2"/>
      <c r="AQ50" s="2" t="s">
        <v>48</v>
      </c>
      <c r="AR50" s="2" t="s">
        <v>1066</v>
      </c>
      <c r="AS50" s="2" t="s">
        <v>1074</v>
      </c>
      <c r="AT50" s="2" t="s">
        <v>1075</v>
      </c>
      <c r="AU50" s="2" t="s">
        <v>1076</v>
      </c>
      <c r="AV50" s="2" t="s">
        <v>1058</v>
      </c>
      <c r="AW50" s="2">
        <v>4.3997546219999997</v>
      </c>
      <c r="AX50" s="2">
        <v>50.859912555699999</v>
      </c>
    </row>
    <row r="51" spans="2:50" x14ac:dyDescent="0.25">
      <c r="B51" s="2">
        <v>103</v>
      </c>
      <c r="C51" s="2">
        <v>2134556</v>
      </c>
      <c r="D51" s="2" t="s">
        <v>761</v>
      </c>
      <c r="E51" s="2">
        <v>82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f>SUM(parking_data_1030[[#This Row],[Résidenti]:[Autres]])</f>
        <v>82</v>
      </c>
      <c r="R51" s="2">
        <v>0</v>
      </c>
      <c r="S51" s="2">
        <v>0</v>
      </c>
      <c r="T51" s="2" t="s">
        <v>43</v>
      </c>
      <c r="U51" s="2" t="s">
        <v>76</v>
      </c>
      <c r="V51" s="2" t="s">
        <v>45</v>
      </c>
      <c r="W51" s="2">
        <v>1</v>
      </c>
      <c r="X51" s="2">
        <v>1</v>
      </c>
      <c r="Y51" s="2">
        <v>0</v>
      </c>
      <c r="Z51" s="2">
        <v>0</v>
      </c>
      <c r="AA51" s="2">
        <v>0</v>
      </c>
      <c r="AB51" s="2"/>
      <c r="AC51" s="2">
        <v>0</v>
      </c>
      <c r="AD51" s="2"/>
      <c r="AE51" s="2" t="s">
        <v>46</v>
      </c>
      <c r="AF51" s="2">
        <v>0</v>
      </c>
      <c r="AG51" s="2">
        <v>0</v>
      </c>
      <c r="AH51" s="2"/>
      <c r="AI51" s="2" t="s">
        <v>43</v>
      </c>
      <c r="AJ51" s="2">
        <v>0</v>
      </c>
      <c r="AK51" s="2">
        <v>0</v>
      </c>
      <c r="AL51" s="2"/>
      <c r="AM51" s="2">
        <v>0</v>
      </c>
      <c r="AN51" s="2">
        <v>0</v>
      </c>
      <c r="AO51" s="2"/>
      <c r="AP51" s="2"/>
      <c r="AQ51" s="2" t="s">
        <v>48</v>
      </c>
      <c r="AR51" s="2" t="s">
        <v>1066</v>
      </c>
      <c r="AS51" s="2" t="s">
        <v>1067</v>
      </c>
      <c r="AT51" s="2" t="s">
        <v>1068</v>
      </c>
      <c r="AU51" s="2" t="s">
        <v>1069</v>
      </c>
      <c r="AV51" s="2" t="s">
        <v>1058</v>
      </c>
      <c r="AW51" s="2">
        <v>4.3975697506999998</v>
      </c>
      <c r="AX51" s="2">
        <v>50.858528305599997</v>
      </c>
    </row>
    <row r="52" spans="2:50" x14ac:dyDescent="0.25">
      <c r="B52" s="2">
        <v>104</v>
      </c>
      <c r="C52" s="2">
        <v>2134566</v>
      </c>
      <c r="D52" s="2" t="s">
        <v>740</v>
      </c>
      <c r="E52" s="2">
        <v>21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f>SUM(parking_data_1030[[#This Row],[Résidenti]:[Autres]])</f>
        <v>21</v>
      </c>
      <c r="R52" s="2">
        <v>0</v>
      </c>
      <c r="S52" s="2">
        <v>0</v>
      </c>
      <c r="T52" s="2" t="s">
        <v>43</v>
      </c>
      <c r="U52" s="2" t="s">
        <v>229</v>
      </c>
      <c r="V52" s="2" t="s">
        <v>45</v>
      </c>
      <c r="W52" s="2">
        <v>0</v>
      </c>
      <c r="X52" s="2">
        <v>1</v>
      </c>
      <c r="Y52" s="2">
        <v>0</v>
      </c>
      <c r="Z52" s="2">
        <v>1</v>
      </c>
      <c r="AA52" s="2">
        <v>0</v>
      </c>
      <c r="AB52" s="2"/>
      <c r="AC52" s="2">
        <v>0</v>
      </c>
      <c r="AD52" s="2"/>
      <c r="AE52" s="2" t="s">
        <v>46</v>
      </c>
      <c r="AF52" s="2">
        <v>0</v>
      </c>
      <c r="AG52" s="2">
        <v>0</v>
      </c>
      <c r="AH52" s="2" t="s">
        <v>55</v>
      </c>
      <c r="AI52" s="2" t="s">
        <v>43</v>
      </c>
      <c r="AJ52" s="2">
        <v>0</v>
      </c>
      <c r="AK52" s="2">
        <v>0</v>
      </c>
      <c r="AL52" s="2"/>
      <c r="AM52" s="2">
        <v>0</v>
      </c>
      <c r="AN52" s="2">
        <v>0</v>
      </c>
      <c r="AO52" s="2"/>
      <c r="AP52" s="2"/>
      <c r="AQ52" s="2" t="s">
        <v>48</v>
      </c>
      <c r="AR52" s="2" t="s">
        <v>886</v>
      </c>
      <c r="AS52" s="2" t="s">
        <v>1067</v>
      </c>
      <c r="AT52" s="2" t="s">
        <v>1068</v>
      </c>
      <c r="AU52" s="2" t="s">
        <v>1061</v>
      </c>
      <c r="AV52" s="2" t="s">
        <v>1058</v>
      </c>
      <c r="AW52" s="2">
        <v>4.3978319736999998</v>
      </c>
      <c r="AX52" s="2">
        <v>50.859532210899999</v>
      </c>
    </row>
    <row r="53" spans="2:50" x14ac:dyDescent="0.25">
      <c r="B53" s="2">
        <v>108</v>
      </c>
      <c r="C53" s="2">
        <v>2134578</v>
      </c>
      <c r="D53" s="2" t="s">
        <v>745</v>
      </c>
      <c r="E53" s="2">
        <v>100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f>SUM(parking_data_1030[[#This Row],[Résidenti]:[Autres]])</f>
        <v>100</v>
      </c>
      <c r="R53" s="2">
        <v>0</v>
      </c>
      <c r="S53" s="2">
        <v>0</v>
      </c>
      <c r="T53" s="2" t="s">
        <v>43</v>
      </c>
      <c r="U53" s="2" t="s">
        <v>199</v>
      </c>
      <c r="V53" s="2" t="s">
        <v>45</v>
      </c>
      <c r="W53" s="2">
        <v>1</v>
      </c>
      <c r="X53" s="2">
        <v>0</v>
      </c>
      <c r="Y53" s="2">
        <v>0</v>
      </c>
      <c r="Z53" s="2">
        <v>0</v>
      </c>
      <c r="AA53" s="2">
        <v>0</v>
      </c>
      <c r="AB53" s="2"/>
      <c r="AC53" s="2">
        <v>0</v>
      </c>
      <c r="AD53" s="2"/>
      <c r="AE53" s="2" t="s">
        <v>106</v>
      </c>
      <c r="AF53" s="2">
        <v>0</v>
      </c>
      <c r="AG53" s="2">
        <v>0</v>
      </c>
      <c r="AH53" s="2" t="s">
        <v>746</v>
      </c>
      <c r="AI53" s="2" t="s">
        <v>43</v>
      </c>
      <c r="AJ53" s="2">
        <v>0</v>
      </c>
      <c r="AK53" s="2">
        <v>0</v>
      </c>
      <c r="AL53" s="2"/>
      <c r="AM53" s="2">
        <v>0</v>
      </c>
      <c r="AN53" s="2">
        <v>0</v>
      </c>
      <c r="AO53" s="2"/>
      <c r="AP53" s="2"/>
      <c r="AQ53" s="2" t="s">
        <v>48</v>
      </c>
      <c r="AR53" s="2" t="s">
        <v>831</v>
      </c>
      <c r="AS53" s="2" t="s">
        <v>1067</v>
      </c>
      <c r="AT53" s="2" t="s">
        <v>1068</v>
      </c>
      <c r="AU53" s="2" t="s">
        <v>1061</v>
      </c>
      <c r="AV53" s="2" t="s">
        <v>1058</v>
      </c>
      <c r="AW53" s="2">
        <v>4.3999147665000002</v>
      </c>
      <c r="AX53" s="2">
        <v>50.8612736424</v>
      </c>
    </row>
    <row r="54" spans="2:50" x14ac:dyDescent="0.25">
      <c r="B54" s="2">
        <v>110</v>
      </c>
      <c r="C54" s="2">
        <v>2134589</v>
      </c>
      <c r="D54" s="2" t="s">
        <v>748</v>
      </c>
      <c r="E54" s="2">
        <v>75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f>SUM(parking_data_1030[[#This Row],[Résidenti]:[Autres]])</f>
        <v>75</v>
      </c>
      <c r="R54" s="2">
        <v>0</v>
      </c>
      <c r="S54" s="2">
        <v>0</v>
      </c>
      <c r="T54" s="2" t="s">
        <v>43</v>
      </c>
      <c r="U54" s="2" t="s">
        <v>115</v>
      </c>
      <c r="V54" s="2" t="s">
        <v>45</v>
      </c>
      <c r="W54" s="2">
        <v>1</v>
      </c>
      <c r="X54" s="2">
        <v>1</v>
      </c>
      <c r="Y54" s="2">
        <v>0</v>
      </c>
      <c r="Z54" s="2">
        <v>0</v>
      </c>
      <c r="AA54" s="2">
        <v>0</v>
      </c>
      <c r="AB54" s="2"/>
      <c r="AC54" s="2">
        <v>0</v>
      </c>
      <c r="AD54" s="2"/>
      <c r="AE54" s="2" t="s">
        <v>106</v>
      </c>
      <c r="AF54" s="2">
        <v>0</v>
      </c>
      <c r="AG54" s="2">
        <v>0</v>
      </c>
      <c r="AH54" s="2" t="s">
        <v>749</v>
      </c>
      <c r="AI54" s="2" t="s">
        <v>43</v>
      </c>
      <c r="AJ54" s="2">
        <v>0</v>
      </c>
      <c r="AK54" s="2">
        <v>0</v>
      </c>
      <c r="AL54" s="2"/>
      <c r="AM54" s="2">
        <v>0</v>
      </c>
      <c r="AN54" s="2">
        <v>0</v>
      </c>
      <c r="AO54" s="2"/>
      <c r="AP54" s="2"/>
      <c r="AQ54" s="2" t="s">
        <v>48</v>
      </c>
      <c r="AR54" s="2" t="s">
        <v>1080</v>
      </c>
      <c r="AS54" s="2" t="s">
        <v>1067</v>
      </c>
      <c r="AT54" s="2" t="s">
        <v>1068</v>
      </c>
      <c r="AU54" s="2" t="s">
        <v>1061</v>
      </c>
      <c r="AV54" s="2" t="s">
        <v>1058</v>
      </c>
      <c r="AW54" s="2">
        <v>4.4010981970999996</v>
      </c>
      <c r="AX54" s="2">
        <v>50.862201548000002</v>
      </c>
    </row>
    <row r="55" spans="2:50" x14ac:dyDescent="0.25">
      <c r="B55" s="2">
        <v>62</v>
      </c>
      <c r="C55" s="2">
        <v>11114315</v>
      </c>
      <c r="D55" s="2" t="s">
        <v>98</v>
      </c>
      <c r="E55" s="2">
        <v>0</v>
      </c>
      <c r="F55" s="2">
        <v>0</v>
      </c>
      <c r="G55" s="2">
        <v>0</v>
      </c>
      <c r="H55" s="2">
        <v>45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f>SUM(parking_data_1030[[#This Row],[Résidenti]:[Autres]])</f>
        <v>45</v>
      </c>
      <c r="R55" s="2">
        <v>0</v>
      </c>
      <c r="S55" s="2">
        <v>0</v>
      </c>
      <c r="T55" s="2" t="s">
        <v>43</v>
      </c>
      <c r="U55" s="2" t="s">
        <v>76</v>
      </c>
      <c r="V55" s="2" t="s">
        <v>45</v>
      </c>
      <c r="W55" s="2">
        <v>0</v>
      </c>
      <c r="X55" s="2">
        <v>0</v>
      </c>
      <c r="Y55" s="2">
        <v>1</v>
      </c>
      <c r="Z55" s="2">
        <v>0</v>
      </c>
      <c r="AA55" s="2">
        <v>0</v>
      </c>
      <c r="AB55" s="2"/>
      <c r="AC55" s="2">
        <v>0</v>
      </c>
      <c r="AD55" s="2"/>
      <c r="AE55" s="2" t="s">
        <v>46</v>
      </c>
      <c r="AF55" s="2">
        <v>7412</v>
      </c>
      <c r="AG55" s="2">
        <v>75</v>
      </c>
      <c r="AH55" s="2" t="s">
        <v>99</v>
      </c>
      <c r="AI55" s="2" t="s">
        <v>43</v>
      </c>
      <c r="AJ55" s="2">
        <v>30</v>
      </c>
      <c r="AK55" s="2">
        <v>45</v>
      </c>
      <c r="AL55" s="2"/>
      <c r="AM55" s="2">
        <v>0</v>
      </c>
      <c r="AN55" s="2">
        <v>0</v>
      </c>
      <c r="AO55" s="2"/>
      <c r="AP55" s="2"/>
      <c r="AQ55" s="2" t="s">
        <v>48</v>
      </c>
      <c r="AR55" s="2" t="s">
        <v>1066</v>
      </c>
      <c r="AS55" s="2" t="s">
        <v>1586</v>
      </c>
      <c r="AT55" s="2" t="s">
        <v>1587</v>
      </c>
      <c r="AU55" s="2" t="s">
        <v>989</v>
      </c>
      <c r="AV55" s="2" t="s">
        <v>835</v>
      </c>
      <c r="AW55" s="2">
        <v>4.3858020051000004</v>
      </c>
      <c r="AX55" s="2">
        <v>50.869380819</v>
      </c>
    </row>
    <row r="56" spans="2:50" x14ac:dyDescent="0.25">
      <c r="B56" s="2">
        <v>249</v>
      </c>
      <c r="C56" s="2">
        <v>2134938</v>
      </c>
      <c r="D56" s="2" t="s">
        <v>179</v>
      </c>
      <c r="E56" s="2">
        <v>18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f>SUM(parking_data_1030[[#This Row],[Résidenti]:[Autres]])</f>
        <v>18</v>
      </c>
      <c r="R56" s="2">
        <v>0</v>
      </c>
      <c r="S56" s="2">
        <v>0</v>
      </c>
      <c r="T56" s="2" t="s">
        <v>43</v>
      </c>
      <c r="U56" s="2" t="s">
        <v>76</v>
      </c>
      <c r="V56" s="2" t="s">
        <v>45</v>
      </c>
      <c r="W56" s="2">
        <v>1</v>
      </c>
      <c r="X56" s="2">
        <v>0</v>
      </c>
      <c r="Y56" s="2">
        <v>0</v>
      </c>
      <c r="Z56" s="2">
        <v>0</v>
      </c>
      <c r="AA56" s="2">
        <v>0</v>
      </c>
      <c r="AB56" s="2"/>
      <c r="AC56" s="2">
        <v>0</v>
      </c>
      <c r="AD56" s="2"/>
      <c r="AE56" s="2" t="s">
        <v>106</v>
      </c>
      <c r="AF56" s="2">
        <v>0</v>
      </c>
      <c r="AG56" s="2">
        <v>0</v>
      </c>
      <c r="AH56" s="2"/>
      <c r="AI56" s="2" t="s">
        <v>43</v>
      </c>
      <c r="AJ56" s="2">
        <v>0</v>
      </c>
      <c r="AK56" s="2">
        <v>0</v>
      </c>
      <c r="AL56" s="2"/>
      <c r="AM56" s="2">
        <v>0</v>
      </c>
      <c r="AN56" s="2">
        <v>0</v>
      </c>
      <c r="AO56" s="2"/>
      <c r="AP56" s="2"/>
      <c r="AQ56" s="2" t="s">
        <v>48</v>
      </c>
      <c r="AR56" s="2" t="s">
        <v>886</v>
      </c>
      <c r="AS56" s="2" t="s">
        <v>1291</v>
      </c>
      <c r="AT56" s="2" t="s">
        <v>1292</v>
      </c>
      <c r="AU56" s="2" t="s">
        <v>1288</v>
      </c>
      <c r="AV56" s="2" t="s">
        <v>1142</v>
      </c>
      <c r="AW56" s="2">
        <v>4.3889339717000002</v>
      </c>
      <c r="AX56" s="2">
        <v>50.850855270099999</v>
      </c>
    </row>
    <row r="57" spans="2:50" x14ac:dyDescent="0.25">
      <c r="B57" s="2">
        <v>250</v>
      </c>
      <c r="C57" s="2">
        <v>11054180</v>
      </c>
      <c r="D57" s="2" t="s">
        <v>180</v>
      </c>
      <c r="E57" s="2">
        <v>12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f>SUM(parking_data_1030[[#This Row],[Résidenti]:[Autres]])</f>
        <v>12</v>
      </c>
      <c r="R57" s="2">
        <v>0</v>
      </c>
      <c r="S57" s="2">
        <v>0</v>
      </c>
      <c r="T57" s="2" t="s">
        <v>43</v>
      </c>
      <c r="U57" s="2" t="s">
        <v>76</v>
      </c>
      <c r="V57" s="2" t="s">
        <v>45</v>
      </c>
      <c r="W57" s="2">
        <v>1</v>
      </c>
      <c r="X57" s="2">
        <v>1</v>
      </c>
      <c r="Y57" s="2">
        <v>0</v>
      </c>
      <c r="Z57" s="2">
        <v>0</v>
      </c>
      <c r="AA57" s="2">
        <v>0</v>
      </c>
      <c r="AB57" s="2"/>
      <c r="AC57" s="2">
        <v>0</v>
      </c>
      <c r="AD57" s="2"/>
      <c r="AE57" s="2" t="s">
        <v>106</v>
      </c>
      <c r="AF57" s="2">
        <v>0</v>
      </c>
      <c r="AG57" s="2">
        <v>0</v>
      </c>
      <c r="AH57" s="2" t="s">
        <v>181</v>
      </c>
      <c r="AI57" s="2" t="s">
        <v>43</v>
      </c>
      <c r="AJ57" s="2">
        <v>0</v>
      </c>
      <c r="AK57" s="2">
        <v>0</v>
      </c>
      <c r="AL57" s="2"/>
      <c r="AM57" s="2">
        <v>0</v>
      </c>
      <c r="AN57" s="2">
        <v>0</v>
      </c>
      <c r="AO57" s="2"/>
      <c r="AP57" s="2"/>
      <c r="AQ57" s="2" t="s">
        <v>48</v>
      </c>
      <c r="AR57" s="2" t="s">
        <v>890</v>
      </c>
      <c r="AS57" s="2" t="s">
        <v>1291</v>
      </c>
      <c r="AT57" s="2" t="s">
        <v>1292</v>
      </c>
      <c r="AU57" s="2" t="s">
        <v>1288</v>
      </c>
      <c r="AV57" s="2" t="s">
        <v>1142</v>
      </c>
      <c r="AW57" s="2">
        <v>4.3887493612000004</v>
      </c>
      <c r="AX57" s="2">
        <v>50.851005691200001</v>
      </c>
    </row>
    <row r="58" spans="2:50" x14ac:dyDescent="0.25">
      <c r="B58" s="2">
        <v>255</v>
      </c>
      <c r="C58" s="2">
        <v>10002630</v>
      </c>
      <c r="D58" s="2" t="s">
        <v>184</v>
      </c>
      <c r="E58" s="2">
        <v>47</v>
      </c>
      <c r="F58" s="2">
        <v>0</v>
      </c>
      <c r="G58" s="2">
        <v>0</v>
      </c>
      <c r="H58" s="2">
        <v>0</v>
      </c>
      <c r="I58" s="2">
        <v>10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f>SUM(parking_data_1030[[#This Row],[Résidenti]:[Autres]])</f>
        <v>57</v>
      </c>
      <c r="R58" s="2">
        <v>0</v>
      </c>
      <c r="S58" s="2">
        <v>0</v>
      </c>
      <c r="T58" s="2" t="s">
        <v>43</v>
      </c>
      <c r="U58" s="2" t="s">
        <v>44</v>
      </c>
      <c r="V58" s="2" t="s">
        <v>45</v>
      </c>
      <c r="W58" s="2">
        <v>1</v>
      </c>
      <c r="X58" s="2">
        <v>1</v>
      </c>
      <c r="Y58" s="2">
        <v>1</v>
      </c>
      <c r="Z58" s="2">
        <v>0</v>
      </c>
      <c r="AA58" s="2">
        <v>0</v>
      </c>
      <c r="AB58" s="2"/>
      <c r="AC58" s="2">
        <v>0</v>
      </c>
      <c r="AD58" s="2"/>
      <c r="AE58" s="2" t="s">
        <v>106</v>
      </c>
      <c r="AF58" s="2">
        <v>0</v>
      </c>
      <c r="AG58" s="2">
        <v>0</v>
      </c>
      <c r="AH58" s="2"/>
      <c r="AI58" s="2" t="s">
        <v>43</v>
      </c>
      <c r="AJ58" s="2">
        <v>0</v>
      </c>
      <c r="AK58" s="2">
        <v>10</v>
      </c>
      <c r="AL58" s="2"/>
      <c r="AM58" s="2">
        <v>0</v>
      </c>
      <c r="AN58" s="2">
        <v>0</v>
      </c>
      <c r="AO58" s="2"/>
      <c r="AP58" s="2"/>
      <c r="AQ58" s="2" t="s">
        <v>48</v>
      </c>
      <c r="AR58" s="2" t="s">
        <v>1185</v>
      </c>
      <c r="AS58" s="2" t="s">
        <v>1291</v>
      </c>
      <c r="AT58" s="2" t="s">
        <v>1292</v>
      </c>
      <c r="AU58" s="2" t="s">
        <v>1295</v>
      </c>
      <c r="AV58" s="2" t="s">
        <v>1142</v>
      </c>
      <c r="AW58" s="2">
        <v>4.3899142772999999</v>
      </c>
      <c r="AX58" s="2">
        <v>50.850298744600003</v>
      </c>
    </row>
    <row r="59" spans="2:50" x14ac:dyDescent="0.25">
      <c r="B59" s="2">
        <v>259</v>
      </c>
      <c r="C59" s="2">
        <v>2154428</v>
      </c>
      <c r="D59" s="2" t="s">
        <v>471</v>
      </c>
      <c r="E59" s="2">
        <v>35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f>SUM(parking_data_1030[[#This Row],[Résidenti]:[Autres]])</f>
        <v>35</v>
      </c>
      <c r="R59" s="2">
        <v>0</v>
      </c>
      <c r="S59" s="2">
        <v>0</v>
      </c>
      <c r="T59" s="2" t="s">
        <v>43</v>
      </c>
      <c r="U59" s="2" t="s">
        <v>54</v>
      </c>
      <c r="V59" s="2" t="s">
        <v>45</v>
      </c>
      <c r="W59" s="2">
        <v>0</v>
      </c>
      <c r="X59" s="2">
        <v>1</v>
      </c>
      <c r="Y59" s="2">
        <v>0</v>
      </c>
      <c r="Z59" s="2">
        <v>1</v>
      </c>
      <c r="AA59" s="2">
        <v>0</v>
      </c>
      <c r="AB59" s="2"/>
      <c r="AC59" s="2">
        <v>0</v>
      </c>
      <c r="AD59" s="2"/>
      <c r="AE59" s="2" t="s">
        <v>106</v>
      </c>
      <c r="AF59" s="2">
        <v>0</v>
      </c>
      <c r="AG59" s="2">
        <v>0</v>
      </c>
      <c r="AH59" s="2" t="s">
        <v>120</v>
      </c>
      <c r="AI59" s="2" t="s">
        <v>43</v>
      </c>
      <c r="AJ59" s="2">
        <v>0</v>
      </c>
      <c r="AK59" s="2">
        <v>0</v>
      </c>
      <c r="AL59" s="2"/>
      <c r="AM59" s="2">
        <v>0</v>
      </c>
      <c r="AN59" s="2">
        <v>0</v>
      </c>
      <c r="AO59" s="2"/>
      <c r="AP59" s="2"/>
      <c r="AQ59" s="2" t="s">
        <v>48</v>
      </c>
      <c r="AR59" s="2" t="s">
        <v>1004</v>
      </c>
      <c r="AS59" s="2" t="s">
        <v>1291</v>
      </c>
      <c r="AT59" s="2" t="s">
        <v>1292</v>
      </c>
      <c r="AU59" s="2" t="s">
        <v>1299</v>
      </c>
      <c r="AV59" s="2" t="s">
        <v>1142</v>
      </c>
      <c r="AW59" s="2">
        <v>4.3894419637000004</v>
      </c>
      <c r="AX59" s="2">
        <v>50.850145294900003</v>
      </c>
    </row>
    <row r="60" spans="2:50" x14ac:dyDescent="0.25">
      <c r="B60" s="2">
        <v>91</v>
      </c>
      <c r="C60" s="2">
        <v>2134106</v>
      </c>
      <c r="D60" s="2" t="s">
        <v>682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13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f>SUM(parking_data_1030[[#This Row],[Résidenti]:[Autres]])</f>
        <v>13</v>
      </c>
      <c r="R60" s="2">
        <v>0</v>
      </c>
      <c r="S60" s="2">
        <v>0</v>
      </c>
      <c r="T60" s="2" t="s">
        <v>43</v>
      </c>
      <c r="U60" s="2" t="s">
        <v>64</v>
      </c>
      <c r="V60" s="2" t="s">
        <v>59</v>
      </c>
      <c r="W60" s="2">
        <v>1</v>
      </c>
      <c r="X60" s="2">
        <v>0</v>
      </c>
      <c r="Y60" s="2">
        <v>0</v>
      </c>
      <c r="Z60" s="2">
        <v>0</v>
      </c>
      <c r="AA60" s="2">
        <v>0</v>
      </c>
      <c r="AB60" s="2"/>
      <c r="AC60" s="2">
        <v>0</v>
      </c>
      <c r="AD60" s="3">
        <v>47189</v>
      </c>
      <c r="AE60" s="2" t="s">
        <v>106</v>
      </c>
      <c r="AF60" s="2">
        <v>0</v>
      </c>
      <c r="AG60" s="2">
        <v>0</v>
      </c>
      <c r="AH60" s="2"/>
      <c r="AI60" s="2" t="s">
        <v>43</v>
      </c>
      <c r="AJ60" s="2">
        <v>0</v>
      </c>
      <c r="AK60" s="2">
        <v>13</v>
      </c>
      <c r="AL60" s="2"/>
      <c r="AM60" s="2">
        <v>0</v>
      </c>
      <c r="AN60" s="2">
        <v>0</v>
      </c>
      <c r="AO60" s="2"/>
      <c r="AP60" s="2"/>
      <c r="AQ60" s="2" t="s">
        <v>48</v>
      </c>
      <c r="AR60" s="2" t="s">
        <v>1045</v>
      </c>
      <c r="AS60" s="2" t="s">
        <v>1046</v>
      </c>
      <c r="AT60" s="2" t="s">
        <v>1047</v>
      </c>
      <c r="AU60" s="2" t="s">
        <v>1044</v>
      </c>
      <c r="AV60" s="2" t="s">
        <v>1000</v>
      </c>
      <c r="AW60" s="2">
        <v>4.3931590115999999</v>
      </c>
      <c r="AX60" s="2">
        <v>50.863879879499997</v>
      </c>
    </row>
    <row r="61" spans="2:50" x14ac:dyDescent="0.25">
      <c r="B61" s="2">
        <v>21</v>
      </c>
      <c r="C61" s="2">
        <v>2180733</v>
      </c>
      <c r="D61" s="2" t="s">
        <v>785</v>
      </c>
      <c r="E61" s="2">
        <v>15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f>SUM(parking_data_1030[[#This Row],[Résidenti]:[Autres]])</f>
        <v>15</v>
      </c>
      <c r="R61" s="2">
        <v>0</v>
      </c>
      <c r="S61" s="2">
        <v>0</v>
      </c>
      <c r="T61" s="2" t="s">
        <v>43</v>
      </c>
      <c r="U61" s="2" t="s">
        <v>54</v>
      </c>
      <c r="V61" s="2" t="s">
        <v>45</v>
      </c>
      <c r="W61" s="2">
        <v>1</v>
      </c>
      <c r="X61" s="2">
        <v>1</v>
      </c>
      <c r="Y61" s="2">
        <v>0</v>
      </c>
      <c r="Z61" s="2">
        <v>0</v>
      </c>
      <c r="AA61" s="2">
        <v>0</v>
      </c>
      <c r="AB61" s="2"/>
      <c r="AC61" s="2">
        <v>0</v>
      </c>
      <c r="AD61" s="2"/>
      <c r="AE61" s="2" t="s">
        <v>46</v>
      </c>
      <c r="AF61" s="2">
        <v>0</v>
      </c>
      <c r="AG61" s="2">
        <v>0</v>
      </c>
      <c r="AH61" s="2"/>
      <c r="AI61" s="2" t="s">
        <v>43</v>
      </c>
      <c r="AJ61" s="2">
        <v>0</v>
      </c>
      <c r="AK61" s="2">
        <v>0</v>
      </c>
      <c r="AL61" s="2"/>
      <c r="AM61" s="2">
        <v>0</v>
      </c>
      <c r="AN61" s="2">
        <v>0</v>
      </c>
      <c r="AO61" s="2"/>
      <c r="AP61" s="2"/>
      <c r="AQ61" s="2" t="s">
        <v>48</v>
      </c>
      <c r="AR61" s="2" t="s">
        <v>886</v>
      </c>
      <c r="AS61" s="2" t="s">
        <v>887</v>
      </c>
      <c r="AT61" s="2" t="s">
        <v>888</v>
      </c>
      <c r="AU61" s="2" t="s">
        <v>889</v>
      </c>
      <c r="AV61" s="2" t="s">
        <v>835</v>
      </c>
      <c r="AW61" s="2">
        <v>4.3887058973000004</v>
      </c>
      <c r="AX61" s="2">
        <v>50.877702603199999</v>
      </c>
    </row>
    <row r="62" spans="2:50" x14ac:dyDescent="0.25">
      <c r="B62" s="2">
        <v>279</v>
      </c>
      <c r="C62" s="2">
        <v>2154118</v>
      </c>
      <c r="D62" s="2" t="s">
        <v>454</v>
      </c>
      <c r="E62" s="2">
        <v>47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f>SUM(parking_data_1030[[#This Row],[Résidenti]:[Autres]])</f>
        <v>47</v>
      </c>
      <c r="R62" s="2">
        <v>0</v>
      </c>
      <c r="S62" s="2">
        <v>0</v>
      </c>
      <c r="T62" s="2" t="s">
        <v>43</v>
      </c>
      <c r="U62" s="2" t="s">
        <v>44</v>
      </c>
      <c r="V62" s="2" t="s">
        <v>45</v>
      </c>
      <c r="W62" s="2">
        <v>0</v>
      </c>
      <c r="X62" s="2">
        <v>1</v>
      </c>
      <c r="Y62" s="2">
        <v>0</v>
      </c>
      <c r="Z62" s="2">
        <v>0</v>
      </c>
      <c r="AA62" s="2">
        <v>1</v>
      </c>
      <c r="AB62" s="2" t="s">
        <v>191</v>
      </c>
      <c r="AC62" s="2">
        <v>0</v>
      </c>
      <c r="AD62" s="2"/>
      <c r="AE62" s="2" t="s">
        <v>106</v>
      </c>
      <c r="AF62" s="2">
        <v>0</v>
      </c>
      <c r="AG62" s="2">
        <v>0</v>
      </c>
      <c r="AH62" s="2" t="s">
        <v>455</v>
      </c>
      <c r="AI62" s="2" t="s">
        <v>43</v>
      </c>
      <c r="AJ62" s="2">
        <v>0</v>
      </c>
      <c r="AK62" s="2">
        <v>0</v>
      </c>
      <c r="AL62" s="2"/>
      <c r="AM62" s="2">
        <v>0</v>
      </c>
      <c r="AN62" s="2">
        <v>0</v>
      </c>
      <c r="AO62" s="2"/>
      <c r="AP62" s="2"/>
      <c r="AQ62" s="2" t="s">
        <v>48</v>
      </c>
      <c r="AR62" s="2" t="s">
        <v>916</v>
      </c>
      <c r="AS62" s="2" t="s">
        <v>1134</v>
      </c>
      <c r="AT62" s="2" t="s">
        <v>1135</v>
      </c>
      <c r="AU62" s="2" t="s">
        <v>1331</v>
      </c>
      <c r="AV62" s="2" t="s">
        <v>1137</v>
      </c>
      <c r="AW62" s="2">
        <v>4.3879748234999996</v>
      </c>
      <c r="AX62" s="2">
        <v>50.853286567600001</v>
      </c>
    </row>
    <row r="63" spans="2:50" x14ac:dyDescent="0.25">
      <c r="B63" s="2">
        <v>312</v>
      </c>
      <c r="C63" s="2">
        <v>2157025</v>
      </c>
      <c r="D63" s="2" t="s">
        <v>478</v>
      </c>
      <c r="E63" s="2">
        <v>10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f>SUM(parking_data_1030[[#This Row],[Résidenti]:[Autres]])</f>
        <v>10</v>
      </c>
      <c r="R63" s="2">
        <v>0</v>
      </c>
      <c r="S63" s="2">
        <v>0</v>
      </c>
      <c r="T63" s="2" t="s">
        <v>43</v>
      </c>
      <c r="U63" s="2" t="s">
        <v>44</v>
      </c>
      <c r="V63" s="2" t="s">
        <v>45</v>
      </c>
      <c r="W63" s="2">
        <v>1</v>
      </c>
      <c r="X63" s="2">
        <v>1</v>
      </c>
      <c r="Y63" s="2">
        <v>0</v>
      </c>
      <c r="Z63" s="2">
        <v>0</v>
      </c>
      <c r="AA63" s="2">
        <v>1</v>
      </c>
      <c r="AB63" s="2"/>
      <c r="AC63" s="2">
        <v>0</v>
      </c>
      <c r="AD63" s="2"/>
      <c r="AE63" s="2" t="s">
        <v>46</v>
      </c>
      <c r="AF63" s="2">
        <v>0</v>
      </c>
      <c r="AG63" s="2">
        <v>0</v>
      </c>
      <c r="AH63" s="2"/>
      <c r="AI63" s="2" t="s">
        <v>43</v>
      </c>
      <c r="AJ63" s="2">
        <v>0</v>
      </c>
      <c r="AK63" s="2">
        <v>0</v>
      </c>
      <c r="AL63" s="2"/>
      <c r="AM63" s="2">
        <v>0</v>
      </c>
      <c r="AN63" s="2">
        <v>0</v>
      </c>
      <c r="AO63" s="2"/>
      <c r="AP63" s="2"/>
      <c r="AQ63" s="2" t="s">
        <v>48</v>
      </c>
      <c r="AR63" s="2" t="s">
        <v>1389</v>
      </c>
      <c r="AS63" s="2" t="s">
        <v>1134</v>
      </c>
      <c r="AT63" s="2" t="s">
        <v>1135</v>
      </c>
      <c r="AU63" s="2" t="s">
        <v>1388</v>
      </c>
      <c r="AV63" s="2" t="s">
        <v>1137</v>
      </c>
      <c r="AW63" s="2">
        <v>4.3905663238999999</v>
      </c>
      <c r="AX63" s="2">
        <v>50.857291204900001</v>
      </c>
    </row>
    <row r="64" spans="2:50" x14ac:dyDescent="0.25">
      <c r="B64" s="2">
        <v>315</v>
      </c>
      <c r="C64" s="2">
        <v>2156956</v>
      </c>
      <c r="D64" s="2" t="s">
        <v>481</v>
      </c>
      <c r="E64" s="2">
        <v>34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f>SUM(parking_data_1030[[#This Row],[Résidenti]:[Autres]])</f>
        <v>34</v>
      </c>
      <c r="R64" s="2">
        <v>0</v>
      </c>
      <c r="S64" s="2">
        <v>0</v>
      </c>
      <c r="T64" s="2" t="s">
        <v>43</v>
      </c>
      <c r="U64" s="2" t="s">
        <v>54</v>
      </c>
      <c r="V64" s="2" t="s">
        <v>45</v>
      </c>
      <c r="W64" s="2">
        <v>1</v>
      </c>
      <c r="X64" s="2">
        <v>1</v>
      </c>
      <c r="Y64" s="2">
        <v>0</v>
      </c>
      <c r="Z64" s="2">
        <v>0</v>
      </c>
      <c r="AA64" s="2">
        <v>0</v>
      </c>
      <c r="AB64" s="2"/>
      <c r="AC64" s="2">
        <v>0</v>
      </c>
      <c r="AD64" s="2"/>
      <c r="AE64" s="2" t="s">
        <v>46</v>
      </c>
      <c r="AF64" s="2">
        <v>0</v>
      </c>
      <c r="AG64" s="2">
        <v>0</v>
      </c>
      <c r="AH64" s="2"/>
      <c r="AI64" s="2" t="s">
        <v>43</v>
      </c>
      <c r="AJ64" s="2">
        <v>0</v>
      </c>
      <c r="AK64" s="2">
        <v>0</v>
      </c>
      <c r="AL64" s="2"/>
      <c r="AM64" s="2">
        <v>0</v>
      </c>
      <c r="AN64" s="2">
        <v>0</v>
      </c>
      <c r="AO64" s="2"/>
      <c r="AP64" s="2"/>
      <c r="AQ64" s="2" t="s">
        <v>48</v>
      </c>
      <c r="AR64" s="2" t="s">
        <v>1394</v>
      </c>
      <c r="AS64" s="2" t="s">
        <v>1134</v>
      </c>
      <c r="AT64" s="2" t="s">
        <v>1135</v>
      </c>
      <c r="AU64" s="2" t="s">
        <v>1393</v>
      </c>
      <c r="AV64" s="2" t="s">
        <v>1137</v>
      </c>
      <c r="AW64" s="2">
        <v>4.3911455992999997</v>
      </c>
      <c r="AX64" s="2">
        <v>50.858415067700001</v>
      </c>
    </row>
    <row r="65" spans="2:50" x14ac:dyDescent="0.25">
      <c r="B65" s="2">
        <v>316</v>
      </c>
      <c r="C65" s="2">
        <v>2156938</v>
      </c>
      <c r="D65" s="2" t="s">
        <v>482</v>
      </c>
      <c r="E65" s="2">
        <v>96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f>SUM(parking_data_1030[[#This Row],[Résidenti]:[Autres]])</f>
        <v>96</v>
      </c>
      <c r="R65" s="2">
        <v>0</v>
      </c>
      <c r="S65" s="2">
        <v>0</v>
      </c>
      <c r="T65" s="2" t="s">
        <v>43</v>
      </c>
      <c r="U65" s="2" t="s">
        <v>199</v>
      </c>
      <c r="V65" s="2" t="s">
        <v>45</v>
      </c>
      <c r="W65" s="2">
        <v>1</v>
      </c>
      <c r="X65" s="2">
        <v>1</v>
      </c>
      <c r="Y65" s="2">
        <v>0</v>
      </c>
      <c r="Z65" s="2">
        <v>0</v>
      </c>
      <c r="AA65" s="2">
        <v>0</v>
      </c>
      <c r="AB65" s="2"/>
      <c r="AC65" s="2">
        <v>0</v>
      </c>
      <c r="AD65" s="2"/>
      <c r="AE65" s="2" t="s">
        <v>46</v>
      </c>
      <c r="AF65" s="2">
        <v>0</v>
      </c>
      <c r="AG65" s="2">
        <v>0</v>
      </c>
      <c r="AH65" s="2" t="s">
        <v>483</v>
      </c>
      <c r="AI65" s="2" t="s">
        <v>43</v>
      </c>
      <c r="AJ65" s="2">
        <v>0</v>
      </c>
      <c r="AK65" s="2">
        <v>0</v>
      </c>
      <c r="AL65" s="2"/>
      <c r="AM65" s="2">
        <v>0</v>
      </c>
      <c r="AN65" s="2">
        <v>0</v>
      </c>
      <c r="AO65" s="2"/>
      <c r="AP65" s="2"/>
      <c r="AQ65" s="2" t="s">
        <v>48</v>
      </c>
      <c r="AR65" s="2" t="s">
        <v>1267</v>
      </c>
      <c r="AS65" s="2" t="s">
        <v>1134</v>
      </c>
      <c r="AT65" s="2" t="s">
        <v>1135</v>
      </c>
      <c r="AU65" s="2" t="s">
        <v>1393</v>
      </c>
      <c r="AV65" s="2" t="s">
        <v>1137</v>
      </c>
      <c r="AW65" s="2">
        <v>4.3909795438000003</v>
      </c>
      <c r="AX65" s="2">
        <v>50.858108766299999</v>
      </c>
    </row>
    <row r="66" spans="2:50" x14ac:dyDescent="0.25">
      <c r="B66" s="2">
        <v>318</v>
      </c>
      <c r="C66" s="2">
        <v>2156907</v>
      </c>
      <c r="D66" s="2" t="s">
        <v>487</v>
      </c>
      <c r="E66" s="2">
        <v>0</v>
      </c>
      <c r="F66" s="2">
        <v>0</v>
      </c>
      <c r="G66" s="2">
        <v>0</v>
      </c>
      <c r="H66" s="2">
        <v>18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f>SUM(parking_data_1030[[#This Row],[Résidenti]:[Autres]])</f>
        <v>18</v>
      </c>
      <c r="R66" s="2">
        <v>0</v>
      </c>
      <c r="S66" s="2">
        <v>0</v>
      </c>
      <c r="T66" s="2" t="s">
        <v>43</v>
      </c>
      <c r="U66" s="2" t="s">
        <v>44</v>
      </c>
      <c r="V66" s="2" t="s">
        <v>45</v>
      </c>
      <c r="W66" s="2">
        <v>0</v>
      </c>
      <c r="X66" s="2">
        <v>0</v>
      </c>
      <c r="Y66" s="2">
        <v>1</v>
      </c>
      <c r="Z66" s="2">
        <v>0</v>
      </c>
      <c r="AA66" s="2">
        <v>0</v>
      </c>
      <c r="AB66" s="2"/>
      <c r="AC66" s="2">
        <v>0</v>
      </c>
      <c r="AD66" s="2"/>
      <c r="AE66" s="2" t="s">
        <v>46</v>
      </c>
      <c r="AF66" s="2">
        <v>168</v>
      </c>
      <c r="AG66" s="2">
        <v>2</v>
      </c>
      <c r="AH66" s="2"/>
      <c r="AI66" s="2" t="s">
        <v>43</v>
      </c>
      <c r="AJ66" s="2">
        <v>-16</v>
      </c>
      <c r="AK66" s="2">
        <v>18</v>
      </c>
      <c r="AL66" s="2"/>
      <c r="AM66" s="2">
        <v>0</v>
      </c>
      <c r="AN66" s="2">
        <v>0</v>
      </c>
      <c r="AO66" s="2"/>
      <c r="AP66" s="2"/>
      <c r="AQ66" s="2" t="s">
        <v>48</v>
      </c>
      <c r="AR66" s="2" t="s">
        <v>960</v>
      </c>
      <c r="AS66" s="2" t="s">
        <v>1134</v>
      </c>
      <c r="AT66" s="2" t="s">
        <v>1135</v>
      </c>
      <c r="AU66" s="2" t="s">
        <v>1136</v>
      </c>
      <c r="AV66" s="2" t="s">
        <v>1137</v>
      </c>
      <c r="AW66" s="2">
        <v>4.3900917363999996</v>
      </c>
      <c r="AX66" s="2">
        <v>50.857364084399997</v>
      </c>
    </row>
    <row r="67" spans="2:50" x14ac:dyDescent="0.25">
      <c r="B67" s="2">
        <v>361</v>
      </c>
      <c r="C67" s="2">
        <v>2144510</v>
      </c>
      <c r="D67" s="2" t="s">
        <v>405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44</v>
      </c>
      <c r="P67" s="2">
        <v>0</v>
      </c>
      <c r="Q67" s="2">
        <f>SUM(parking_data_1030[[#This Row],[Résidenti]:[Autres]])</f>
        <v>44</v>
      </c>
      <c r="R67" s="2">
        <v>44</v>
      </c>
      <c r="S67" s="2">
        <v>0</v>
      </c>
      <c r="T67" s="2" t="s">
        <v>43</v>
      </c>
      <c r="U67" s="2" t="s">
        <v>44</v>
      </c>
      <c r="V67" s="2" t="s">
        <v>45</v>
      </c>
      <c r="W67" s="2">
        <v>1</v>
      </c>
      <c r="X67" s="2">
        <v>1</v>
      </c>
      <c r="Y67" s="2">
        <v>0</v>
      </c>
      <c r="Z67" s="2">
        <v>0</v>
      </c>
      <c r="AA67" s="2">
        <v>0</v>
      </c>
      <c r="AB67" s="2"/>
      <c r="AC67" s="2">
        <v>0</v>
      </c>
      <c r="AD67" s="2"/>
      <c r="AE67" s="2" t="s">
        <v>46</v>
      </c>
      <c r="AF67" s="2">
        <v>0</v>
      </c>
      <c r="AG67" s="2">
        <v>0</v>
      </c>
      <c r="AH67" s="2"/>
      <c r="AI67" s="2" t="s">
        <v>43</v>
      </c>
      <c r="AJ67" s="2">
        <v>0</v>
      </c>
      <c r="AK67" s="2">
        <v>44</v>
      </c>
      <c r="AL67" s="2" t="s">
        <v>366</v>
      </c>
      <c r="AM67" s="2">
        <v>0</v>
      </c>
      <c r="AN67" s="2">
        <v>0</v>
      </c>
      <c r="AO67" s="2"/>
      <c r="AP67" s="2"/>
      <c r="AQ67" s="2" t="s">
        <v>48</v>
      </c>
      <c r="AR67" s="2" t="s">
        <v>837</v>
      </c>
      <c r="AS67" s="2" t="s">
        <v>1456</v>
      </c>
      <c r="AT67" s="2" t="s">
        <v>1457</v>
      </c>
      <c r="AU67" s="2" t="s">
        <v>1458</v>
      </c>
      <c r="AV67" s="2" t="s">
        <v>897</v>
      </c>
      <c r="AW67" s="2">
        <v>4.3686173232999996</v>
      </c>
      <c r="AX67" s="2">
        <v>50.857469912699997</v>
      </c>
    </row>
    <row r="68" spans="2:50" x14ac:dyDescent="0.25">
      <c r="B68" s="2">
        <v>363</v>
      </c>
      <c r="C68" s="2"/>
      <c r="D68" s="2" t="s">
        <v>408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10</v>
      </c>
      <c r="Q68" s="2">
        <f>SUM(parking_data_1030[[#This Row],[Résidenti]:[Autres]])</f>
        <v>10</v>
      </c>
      <c r="R68" s="2">
        <v>0</v>
      </c>
      <c r="S68" s="2">
        <v>0</v>
      </c>
      <c r="T68" s="2" t="s">
        <v>43</v>
      </c>
      <c r="U68" s="2" t="s">
        <v>44</v>
      </c>
      <c r="V68" s="2" t="s">
        <v>45</v>
      </c>
      <c r="W68" s="2">
        <v>0</v>
      </c>
      <c r="X68" s="2">
        <v>0</v>
      </c>
      <c r="Y68" s="2">
        <v>0</v>
      </c>
      <c r="Z68" s="2">
        <v>1</v>
      </c>
      <c r="AA68" s="2">
        <v>0</v>
      </c>
      <c r="AB68" s="2"/>
      <c r="AC68" s="2">
        <v>0</v>
      </c>
      <c r="AD68" s="2"/>
      <c r="AE68" s="2" t="s">
        <v>46</v>
      </c>
      <c r="AF68" s="2">
        <v>0</v>
      </c>
      <c r="AG68" s="2">
        <v>0</v>
      </c>
      <c r="AH68" s="2" t="s">
        <v>409</v>
      </c>
      <c r="AI68" s="2" t="s">
        <v>79</v>
      </c>
      <c r="AJ68" s="2">
        <v>0</v>
      </c>
      <c r="AK68" s="2">
        <v>10</v>
      </c>
      <c r="AL68" s="2"/>
      <c r="AM68" s="2">
        <v>0</v>
      </c>
      <c r="AN68" s="2">
        <v>0</v>
      </c>
      <c r="AO68" s="2"/>
      <c r="AP68" s="2"/>
      <c r="AQ68" s="2" t="s">
        <v>48</v>
      </c>
      <c r="AR68" s="12" t="s">
        <v>920</v>
      </c>
      <c r="AS68" s="2" t="s">
        <v>1456</v>
      </c>
      <c r="AT68" s="13" t="s">
        <v>1457</v>
      </c>
      <c r="AU68" s="2" t="s">
        <v>1458</v>
      </c>
      <c r="AV68" s="2" t="s">
        <v>897</v>
      </c>
      <c r="AW68" s="2">
        <v>4.3690438933999998</v>
      </c>
      <c r="AX68" s="2">
        <v>50.857366196699999</v>
      </c>
    </row>
    <row r="69" spans="2:50" x14ac:dyDescent="0.25">
      <c r="B69" s="2">
        <v>280</v>
      </c>
      <c r="C69" s="2">
        <v>2154073</v>
      </c>
      <c r="D69" s="2" t="s">
        <v>438</v>
      </c>
      <c r="E69" s="2">
        <v>0</v>
      </c>
      <c r="F69" s="2">
        <v>0</v>
      </c>
      <c r="G69" s="2">
        <v>0</v>
      </c>
      <c r="H69" s="2">
        <v>0</v>
      </c>
      <c r="I69" s="2">
        <v>20</v>
      </c>
      <c r="J69" s="2">
        <v>5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f>SUM(parking_data_1030[[#This Row],[Résidenti]:[Autres]])</f>
        <v>25</v>
      </c>
      <c r="R69" s="2">
        <v>0</v>
      </c>
      <c r="S69" s="2">
        <v>0</v>
      </c>
      <c r="T69" s="2" t="s">
        <v>43</v>
      </c>
      <c r="U69" s="2" t="s">
        <v>44</v>
      </c>
      <c r="V69" s="2" t="s">
        <v>45</v>
      </c>
      <c r="W69" s="2">
        <v>1</v>
      </c>
      <c r="X69" s="2">
        <v>1</v>
      </c>
      <c r="Y69" s="2">
        <v>0</v>
      </c>
      <c r="Z69" s="2">
        <v>0</v>
      </c>
      <c r="AA69" s="2">
        <v>0</v>
      </c>
      <c r="AB69" s="2"/>
      <c r="AC69" s="2">
        <v>0</v>
      </c>
      <c r="AD69" s="2"/>
      <c r="AE69" s="2" t="s">
        <v>106</v>
      </c>
      <c r="AF69" s="2">
        <v>0</v>
      </c>
      <c r="AG69" s="2">
        <v>0</v>
      </c>
      <c r="AH69" s="2" t="s">
        <v>439</v>
      </c>
      <c r="AI69" s="2" t="s">
        <v>43</v>
      </c>
      <c r="AJ69" s="2">
        <v>0</v>
      </c>
      <c r="AK69" s="2">
        <v>25</v>
      </c>
      <c r="AL69" s="2"/>
      <c r="AM69" s="2">
        <v>0</v>
      </c>
      <c r="AN69" s="2">
        <v>0</v>
      </c>
      <c r="AO69" s="2"/>
      <c r="AP69" s="2"/>
      <c r="AQ69" s="2" t="s">
        <v>48</v>
      </c>
      <c r="AR69" s="2" t="s">
        <v>1332</v>
      </c>
      <c r="AS69" s="2" t="s">
        <v>1333</v>
      </c>
      <c r="AT69" s="2" t="s">
        <v>1334</v>
      </c>
      <c r="AU69" s="2" t="s">
        <v>1331</v>
      </c>
      <c r="AV69" s="2" t="s">
        <v>1137</v>
      </c>
      <c r="AW69" s="2">
        <v>4.3872883437999999</v>
      </c>
      <c r="AX69" s="2">
        <v>50.853215979600002</v>
      </c>
    </row>
    <row r="70" spans="2:50" x14ac:dyDescent="0.25">
      <c r="B70" s="2">
        <v>282</v>
      </c>
      <c r="C70" s="2">
        <v>2153865</v>
      </c>
      <c r="D70" s="2" t="s">
        <v>441</v>
      </c>
      <c r="E70" s="2">
        <v>17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f>SUM(parking_data_1030[[#This Row],[Résidenti]:[Autres]])</f>
        <v>17</v>
      </c>
      <c r="R70" s="2">
        <v>0</v>
      </c>
      <c r="S70" s="2">
        <v>0</v>
      </c>
      <c r="T70" s="2" t="s">
        <v>43</v>
      </c>
      <c r="U70" s="2" t="s">
        <v>54</v>
      </c>
      <c r="V70" s="2" t="s">
        <v>45</v>
      </c>
      <c r="W70" s="2">
        <v>1</v>
      </c>
      <c r="X70" s="2">
        <v>1</v>
      </c>
      <c r="Y70" s="2">
        <v>0</v>
      </c>
      <c r="Z70" s="2">
        <v>0</v>
      </c>
      <c r="AA70" s="2">
        <v>0</v>
      </c>
      <c r="AB70" s="2"/>
      <c r="AC70" s="2">
        <v>0</v>
      </c>
      <c r="AD70" s="2"/>
      <c r="AE70" s="2" t="s">
        <v>46</v>
      </c>
      <c r="AF70" s="2">
        <v>0</v>
      </c>
      <c r="AG70" s="2">
        <v>0</v>
      </c>
      <c r="AH70" s="2"/>
      <c r="AI70" s="2" t="s">
        <v>43</v>
      </c>
      <c r="AJ70" s="2">
        <v>0</v>
      </c>
      <c r="AK70" s="2">
        <v>0</v>
      </c>
      <c r="AL70" s="2"/>
      <c r="AM70" s="2">
        <v>0</v>
      </c>
      <c r="AN70" s="2">
        <v>0</v>
      </c>
      <c r="AO70" s="2"/>
      <c r="AP70" s="2"/>
      <c r="AQ70" s="2" t="s">
        <v>48</v>
      </c>
      <c r="AR70" s="2" t="s">
        <v>1337</v>
      </c>
      <c r="AS70" s="2" t="s">
        <v>1333</v>
      </c>
      <c r="AT70" s="2" t="s">
        <v>1334</v>
      </c>
      <c r="AU70" s="2" t="s">
        <v>1338</v>
      </c>
      <c r="AV70" s="2" t="s">
        <v>1137</v>
      </c>
      <c r="AW70" s="2">
        <v>4.3847663747999999</v>
      </c>
      <c r="AX70" s="2">
        <v>50.855161686599999</v>
      </c>
    </row>
    <row r="71" spans="2:50" x14ac:dyDescent="0.25">
      <c r="B71" s="2">
        <v>286</v>
      </c>
      <c r="C71" s="2">
        <v>2151751</v>
      </c>
      <c r="D71" s="2" t="s">
        <v>442</v>
      </c>
      <c r="E71" s="2">
        <v>0</v>
      </c>
      <c r="F71" s="2">
        <v>0</v>
      </c>
      <c r="G71" s="2">
        <v>0</v>
      </c>
      <c r="H71" s="2">
        <v>0</v>
      </c>
      <c r="I71" s="2">
        <v>18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f>SUM(parking_data_1030[[#This Row],[Résidenti]:[Autres]])</f>
        <v>18</v>
      </c>
      <c r="R71" s="2">
        <v>0</v>
      </c>
      <c r="S71" s="2">
        <v>0</v>
      </c>
      <c r="T71" s="2" t="s">
        <v>79</v>
      </c>
      <c r="U71" s="2" t="s">
        <v>64</v>
      </c>
      <c r="V71" s="2" t="s">
        <v>45</v>
      </c>
      <c r="W71" s="2">
        <v>1</v>
      </c>
      <c r="X71" s="2">
        <v>1</v>
      </c>
      <c r="Y71" s="2">
        <v>1</v>
      </c>
      <c r="Z71" s="2">
        <v>0</v>
      </c>
      <c r="AA71" s="2">
        <v>0</v>
      </c>
      <c r="AB71" s="2"/>
      <c r="AC71" s="2">
        <v>0</v>
      </c>
      <c r="AD71" s="2"/>
      <c r="AE71" s="2" t="s">
        <v>106</v>
      </c>
      <c r="AF71" s="2">
        <v>0</v>
      </c>
      <c r="AG71" s="2">
        <v>0</v>
      </c>
      <c r="AH71" s="2" t="s">
        <v>443</v>
      </c>
      <c r="AI71" s="2" t="s">
        <v>43</v>
      </c>
      <c r="AJ71" s="2">
        <v>0</v>
      </c>
      <c r="AK71" s="2">
        <v>18</v>
      </c>
      <c r="AL71" s="2"/>
      <c r="AM71" s="2">
        <v>0</v>
      </c>
      <c r="AN71" s="2">
        <v>0</v>
      </c>
      <c r="AO71" s="2"/>
      <c r="AP71" s="2"/>
      <c r="AQ71" s="2" t="s">
        <v>48</v>
      </c>
      <c r="AR71" s="2" t="s">
        <v>1343</v>
      </c>
      <c r="AS71" s="2" t="s">
        <v>1333</v>
      </c>
      <c r="AT71" s="2" t="s">
        <v>1334</v>
      </c>
      <c r="AU71" s="2" t="s">
        <v>1344</v>
      </c>
      <c r="AV71" s="2" t="s">
        <v>1137</v>
      </c>
      <c r="AW71" s="2">
        <v>4.3866448667000002</v>
      </c>
      <c r="AX71" s="2">
        <v>50.853014781299997</v>
      </c>
    </row>
    <row r="72" spans="2:50" x14ac:dyDescent="0.25">
      <c r="B72" s="2">
        <v>287</v>
      </c>
      <c r="C72" s="2">
        <v>2151741</v>
      </c>
      <c r="D72" s="2" t="s">
        <v>444</v>
      </c>
      <c r="E72" s="2">
        <v>19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f>SUM(parking_data_1030[[#This Row],[Résidenti]:[Autres]])</f>
        <v>19</v>
      </c>
      <c r="R72" s="2">
        <v>0</v>
      </c>
      <c r="S72" s="2">
        <v>0</v>
      </c>
      <c r="T72" s="2" t="s">
        <v>43</v>
      </c>
      <c r="U72" s="2" t="s">
        <v>44</v>
      </c>
      <c r="V72" s="2" t="s">
        <v>45</v>
      </c>
      <c r="W72" s="2">
        <v>1</v>
      </c>
      <c r="X72" s="2">
        <v>1</v>
      </c>
      <c r="Y72" s="2">
        <v>0</v>
      </c>
      <c r="Z72" s="2">
        <v>0</v>
      </c>
      <c r="AA72" s="2">
        <v>0</v>
      </c>
      <c r="AB72" s="2"/>
      <c r="AC72" s="2">
        <v>0</v>
      </c>
      <c r="AD72" s="2"/>
      <c r="AE72" s="2" t="s">
        <v>106</v>
      </c>
      <c r="AF72" s="2">
        <v>0</v>
      </c>
      <c r="AG72" s="2">
        <v>0</v>
      </c>
      <c r="AH72" s="2"/>
      <c r="AI72" s="2" t="s">
        <v>43</v>
      </c>
      <c r="AJ72" s="2">
        <v>0</v>
      </c>
      <c r="AK72" s="2">
        <v>0</v>
      </c>
      <c r="AL72" s="2"/>
      <c r="AM72" s="2">
        <v>0</v>
      </c>
      <c r="AN72" s="2">
        <v>0</v>
      </c>
      <c r="AO72" s="2"/>
      <c r="AP72" s="2"/>
      <c r="AQ72" s="2" t="s">
        <v>48</v>
      </c>
      <c r="AR72" s="2" t="s">
        <v>1345</v>
      </c>
      <c r="AS72" s="2" t="s">
        <v>1333</v>
      </c>
      <c r="AT72" s="2" t="s">
        <v>1334</v>
      </c>
      <c r="AU72" s="2" t="s">
        <v>1344</v>
      </c>
      <c r="AV72" s="2" t="s">
        <v>1137</v>
      </c>
      <c r="AW72" s="2">
        <v>4.3862854456000004</v>
      </c>
      <c r="AX72" s="2">
        <v>50.8531098542</v>
      </c>
    </row>
    <row r="73" spans="2:50" x14ac:dyDescent="0.25">
      <c r="B73" s="2">
        <v>304</v>
      </c>
      <c r="C73" s="2">
        <v>2153316</v>
      </c>
      <c r="D73" s="2" t="s">
        <v>489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f>SUM(parking_data_1030[[#This Row],[Résidenti]:[Autres]])</f>
        <v>0</v>
      </c>
      <c r="R73" s="2">
        <v>0</v>
      </c>
      <c r="S73" s="2">
        <v>0</v>
      </c>
      <c r="T73" s="2" t="s">
        <v>43</v>
      </c>
      <c r="U73" s="2" t="s">
        <v>44</v>
      </c>
      <c r="V73" s="2" t="s">
        <v>45</v>
      </c>
      <c r="W73" s="2">
        <v>1</v>
      </c>
      <c r="X73" s="2">
        <v>1</v>
      </c>
      <c r="Y73" s="2">
        <v>0</v>
      </c>
      <c r="Z73" s="2">
        <v>0</v>
      </c>
      <c r="AA73" s="2">
        <v>0</v>
      </c>
      <c r="AB73" s="2"/>
      <c r="AC73" s="2">
        <v>0</v>
      </c>
      <c r="AD73" s="2"/>
      <c r="AE73" s="2" t="s">
        <v>46</v>
      </c>
      <c r="AF73" s="2">
        <v>0</v>
      </c>
      <c r="AG73" s="2">
        <v>0</v>
      </c>
      <c r="AH73" s="2" t="s">
        <v>192</v>
      </c>
      <c r="AI73" s="2" t="s">
        <v>79</v>
      </c>
      <c r="AJ73" s="2">
        <v>0</v>
      </c>
      <c r="AK73" s="2">
        <v>0</v>
      </c>
      <c r="AL73" s="2"/>
      <c r="AM73" s="2">
        <v>0</v>
      </c>
      <c r="AN73" s="2">
        <v>0</v>
      </c>
      <c r="AO73" s="2"/>
      <c r="AP73" s="2"/>
      <c r="AQ73" s="2" t="s">
        <v>48</v>
      </c>
      <c r="AR73" s="2" t="s">
        <v>1374</v>
      </c>
      <c r="AS73" s="2" t="s">
        <v>1333</v>
      </c>
      <c r="AT73" s="2" t="s">
        <v>1334</v>
      </c>
      <c r="AU73" s="2" t="s">
        <v>1375</v>
      </c>
      <c r="AV73" s="2" t="s">
        <v>1137</v>
      </c>
      <c r="AW73" s="2">
        <v>4.3830556022999998</v>
      </c>
      <c r="AX73" s="2">
        <v>50.856737906699998</v>
      </c>
    </row>
    <row r="74" spans="2:50" x14ac:dyDescent="0.25">
      <c r="B74" s="2">
        <v>245</v>
      </c>
      <c r="C74" s="2">
        <v>3000715</v>
      </c>
      <c r="D74" s="2" t="s">
        <v>194</v>
      </c>
      <c r="E74" s="2">
        <v>109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f>SUM(parking_data_1030[[#This Row],[Résidenti]:[Autres]])</f>
        <v>109</v>
      </c>
      <c r="R74" s="2">
        <v>0</v>
      </c>
      <c r="S74" s="2">
        <v>0</v>
      </c>
      <c r="T74" s="2" t="s">
        <v>43</v>
      </c>
      <c r="U74" s="2" t="s">
        <v>64</v>
      </c>
      <c r="V74" s="2" t="s">
        <v>45</v>
      </c>
      <c r="W74" s="2">
        <v>1</v>
      </c>
      <c r="X74" s="2">
        <v>1</v>
      </c>
      <c r="Y74" s="2">
        <v>0</v>
      </c>
      <c r="Z74" s="2">
        <v>0</v>
      </c>
      <c r="AA74" s="2">
        <v>1</v>
      </c>
      <c r="AB74" s="2"/>
      <c r="AC74" s="2">
        <v>0</v>
      </c>
      <c r="AD74" s="2"/>
      <c r="AE74" s="2" t="s">
        <v>106</v>
      </c>
      <c r="AF74" s="2">
        <v>0</v>
      </c>
      <c r="AG74" s="2">
        <v>0</v>
      </c>
      <c r="AH74" s="2" t="s">
        <v>195</v>
      </c>
      <c r="AI74" s="2" t="s">
        <v>43</v>
      </c>
      <c r="AJ74" s="2">
        <v>0</v>
      </c>
      <c r="AK74" s="2">
        <v>0</v>
      </c>
      <c r="AL74" s="2"/>
      <c r="AM74" s="2">
        <v>0</v>
      </c>
      <c r="AN74" s="2">
        <v>0</v>
      </c>
      <c r="AO74" s="2"/>
      <c r="AP74" s="2"/>
      <c r="AQ74" s="2" t="s">
        <v>48</v>
      </c>
      <c r="AR74" s="2" t="s">
        <v>1043</v>
      </c>
      <c r="AS74" s="2" t="s">
        <v>1285</v>
      </c>
      <c r="AT74" s="2" t="s">
        <v>1286</v>
      </c>
      <c r="AU74" s="2" t="s">
        <v>1287</v>
      </c>
      <c r="AV74" s="2" t="s">
        <v>1142</v>
      </c>
      <c r="AW74" s="2">
        <v>4.3880225814999996</v>
      </c>
      <c r="AX74" s="2">
        <v>50.851691739400003</v>
      </c>
    </row>
    <row r="75" spans="2:50" x14ac:dyDescent="0.25">
      <c r="B75" s="2">
        <v>178</v>
      </c>
      <c r="C75" s="2">
        <v>1167036</v>
      </c>
      <c r="D75" s="2" t="s">
        <v>279</v>
      </c>
      <c r="E75" s="2">
        <v>0</v>
      </c>
      <c r="F75" s="2">
        <v>0</v>
      </c>
      <c r="G75" s="2">
        <v>0</v>
      </c>
      <c r="H75" s="2">
        <v>12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f>SUM(parking_data_1030[[#This Row],[Résidenti]:[Autres]])</f>
        <v>12</v>
      </c>
      <c r="R75" s="2">
        <v>0</v>
      </c>
      <c r="S75" s="2">
        <v>0</v>
      </c>
      <c r="T75" s="2" t="s">
        <v>43</v>
      </c>
      <c r="U75" s="2" t="s">
        <v>64</v>
      </c>
      <c r="V75" s="2" t="s">
        <v>45</v>
      </c>
      <c r="W75" s="2">
        <v>1</v>
      </c>
      <c r="X75" s="2">
        <v>1</v>
      </c>
      <c r="Y75" s="2">
        <v>1</v>
      </c>
      <c r="Z75" s="2">
        <v>0</v>
      </c>
      <c r="AA75" s="2">
        <v>0</v>
      </c>
      <c r="AB75" s="2"/>
      <c r="AC75" s="2">
        <v>0</v>
      </c>
      <c r="AD75" s="3">
        <v>47174</v>
      </c>
      <c r="AE75" s="2" t="s">
        <v>106</v>
      </c>
      <c r="AF75" s="2">
        <v>848</v>
      </c>
      <c r="AG75" s="2">
        <v>15</v>
      </c>
      <c r="AH75" s="2" t="s">
        <v>280</v>
      </c>
      <c r="AI75" s="2" t="s">
        <v>43</v>
      </c>
      <c r="AJ75" s="2">
        <v>3</v>
      </c>
      <c r="AK75" s="2">
        <v>12</v>
      </c>
      <c r="AL75" s="2"/>
      <c r="AM75" s="2">
        <v>0</v>
      </c>
      <c r="AN75" s="2">
        <v>0</v>
      </c>
      <c r="AO75" s="2"/>
      <c r="AP75" s="2"/>
      <c r="AQ75" s="2" t="s">
        <v>48</v>
      </c>
      <c r="AR75" s="2" t="s">
        <v>1023</v>
      </c>
      <c r="AS75" s="2" t="s">
        <v>1199</v>
      </c>
      <c r="AT75" s="2" t="s">
        <v>1200</v>
      </c>
      <c r="AU75" s="2" t="s">
        <v>1191</v>
      </c>
      <c r="AV75" s="2" t="s">
        <v>1090</v>
      </c>
      <c r="AW75" s="2">
        <v>4.3942500059</v>
      </c>
      <c r="AX75" s="2">
        <v>50.846783178499997</v>
      </c>
    </row>
    <row r="76" spans="2:50" x14ac:dyDescent="0.25">
      <c r="B76" s="2">
        <v>179</v>
      </c>
      <c r="C76" s="2">
        <v>1166278</v>
      </c>
      <c r="D76" s="2" t="s">
        <v>281</v>
      </c>
      <c r="E76" s="2">
        <v>24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f>SUM(parking_data_1030[[#This Row],[Résidenti]:[Autres]])</f>
        <v>24</v>
      </c>
      <c r="R76" s="2">
        <v>0</v>
      </c>
      <c r="S76" s="2">
        <v>0</v>
      </c>
      <c r="T76" s="2" t="s">
        <v>43</v>
      </c>
      <c r="U76" s="2" t="s">
        <v>76</v>
      </c>
      <c r="V76" s="2" t="s">
        <v>45</v>
      </c>
      <c r="W76" s="2">
        <v>1</v>
      </c>
      <c r="X76" s="2">
        <v>0</v>
      </c>
      <c r="Y76" s="2">
        <v>0</v>
      </c>
      <c r="Z76" s="2">
        <v>0</v>
      </c>
      <c r="AA76" s="2">
        <v>0</v>
      </c>
      <c r="AB76" s="2" t="s">
        <v>282</v>
      </c>
      <c r="AC76" s="2">
        <v>0</v>
      </c>
      <c r="AD76" s="2"/>
      <c r="AE76" s="2" t="s">
        <v>106</v>
      </c>
      <c r="AF76" s="2">
        <v>0</v>
      </c>
      <c r="AG76" s="2">
        <v>0</v>
      </c>
      <c r="AH76" s="2" t="s">
        <v>283</v>
      </c>
      <c r="AI76" s="2" t="s">
        <v>43</v>
      </c>
      <c r="AJ76" s="2">
        <v>0</v>
      </c>
      <c r="AK76" s="2">
        <v>0</v>
      </c>
      <c r="AL76" s="2"/>
      <c r="AM76" s="2">
        <v>0</v>
      </c>
      <c r="AN76" s="2">
        <v>0</v>
      </c>
      <c r="AO76" s="2"/>
      <c r="AP76" s="2"/>
      <c r="AQ76" s="2" t="s">
        <v>48</v>
      </c>
      <c r="AR76" s="2" t="s">
        <v>1198</v>
      </c>
      <c r="AS76" s="2" t="s">
        <v>1199</v>
      </c>
      <c r="AT76" s="2" t="s">
        <v>1200</v>
      </c>
      <c r="AU76" s="2" t="s">
        <v>1191</v>
      </c>
      <c r="AV76" s="2" t="s">
        <v>1090</v>
      </c>
      <c r="AW76" s="2">
        <v>4.3949719269000003</v>
      </c>
      <c r="AX76" s="2">
        <v>50.847024932799997</v>
      </c>
    </row>
    <row r="77" spans="2:50" x14ac:dyDescent="0.25">
      <c r="B77" s="2">
        <v>208</v>
      </c>
      <c r="C77" s="2">
        <v>2187869</v>
      </c>
      <c r="D77" s="2" t="s">
        <v>151</v>
      </c>
      <c r="E77" s="2">
        <v>0</v>
      </c>
      <c r="F77" s="2">
        <v>0</v>
      </c>
      <c r="G77" s="2">
        <v>0</v>
      </c>
      <c r="H77" s="2">
        <v>11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f>SUM(parking_data_1030[[#This Row],[Résidenti]:[Autres]])</f>
        <v>11</v>
      </c>
      <c r="R77" s="2">
        <v>0</v>
      </c>
      <c r="S77" s="2">
        <v>0</v>
      </c>
      <c r="T77" s="2" t="s">
        <v>43</v>
      </c>
      <c r="U77" s="2" t="s">
        <v>64</v>
      </c>
      <c r="V77" s="2" t="s">
        <v>45</v>
      </c>
      <c r="W77" s="2">
        <v>0</v>
      </c>
      <c r="X77" s="2">
        <v>1</v>
      </c>
      <c r="Y77" s="2">
        <v>1</v>
      </c>
      <c r="Z77" s="2">
        <v>0</v>
      </c>
      <c r="AA77" s="2">
        <v>0</v>
      </c>
      <c r="AB77" s="2"/>
      <c r="AC77" s="2">
        <v>0</v>
      </c>
      <c r="AD77" s="2"/>
      <c r="AE77" s="2" t="s">
        <v>106</v>
      </c>
      <c r="AF77" s="2">
        <v>864</v>
      </c>
      <c r="AG77" s="2">
        <v>15</v>
      </c>
      <c r="AH77" s="2" t="s">
        <v>152</v>
      </c>
      <c r="AI77" s="2" t="s">
        <v>43</v>
      </c>
      <c r="AJ77" s="2">
        <v>4</v>
      </c>
      <c r="AK77" s="2">
        <v>11</v>
      </c>
      <c r="AL77" s="2"/>
      <c r="AM77" s="2">
        <v>0</v>
      </c>
      <c r="AN77" s="2">
        <v>0</v>
      </c>
      <c r="AO77" s="2"/>
      <c r="AP77" s="2"/>
      <c r="AQ77" s="2" t="s">
        <v>48</v>
      </c>
      <c r="AR77" s="2" t="s">
        <v>1045</v>
      </c>
      <c r="AS77" s="2" t="s">
        <v>1199</v>
      </c>
      <c r="AT77" s="2" t="s">
        <v>1200</v>
      </c>
      <c r="AU77" s="2" t="s">
        <v>1399</v>
      </c>
      <c r="AV77" s="2" t="s">
        <v>1142</v>
      </c>
      <c r="AW77" s="2">
        <v>4.3941550535999996</v>
      </c>
      <c r="AX77" s="2">
        <v>50.847555363300003</v>
      </c>
    </row>
    <row r="78" spans="2:50" x14ac:dyDescent="0.25">
      <c r="B78" s="2">
        <v>375</v>
      </c>
      <c r="C78" s="2">
        <v>2146466</v>
      </c>
      <c r="D78" s="2" t="s">
        <v>395</v>
      </c>
      <c r="E78" s="2">
        <v>18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f>SUM(parking_data_1030[[#This Row],[Résidenti]:[Autres]])</f>
        <v>18</v>
      </c>
      <c r="R78" s="2">
        <v>0</v>
      </c>
      <c r="S78" s="2">
        <v>0</v>
      </c>
      <c r="T78" s="2" t="s">
        <v>43</v>
      </c>
      <c r="U78" s="2" t="s">
        <v>44</v>
      </c>
      <c r="V78" s="2" t="s">
        <v>45</v>
      </c>
      <c r="W78" s="2">
        <v>0</v>
      </c>
      <c r="X78" s="2">
        <v>0</v>
      </c>
      <c r="Y78" s="2">
        <v>0</v>
      </c>
      <c r="Z78" s="2">
        <v>1</v>
      </c>
      <c r="AA78" s="2">
        <v>0</v>
      </c>
      <c r="AB78" s="2"/>
      <c r="AC78" s="2">
        <v>0</v>
      </c>
      <c r="AD78" s="2"/>
      <c r="AE78" s="2" t="s">
        <v>52</v>
      </c>
      <c r="AF78" s="2">
        <v>0</v>
      </c>
      <c r="AG78" s="2">
        <v>0</v>
      </c>
      <c r="AH78" s="2" t="s">
        <v>396</v>
      </c>
      <c r="AI78" s="2" t="s">
        <v>43</v>
      </c>
      <c r="AJ78" s="2">
        <v>0</v>
      </c>
      <c r="AK78" s="2">
        <v>0</v>
      </c>
      <c r="AL78" s="2"/>
      <c r="AM78" s="2">
        <v>0</v>
      </c>
      <c r="AN78" s="2">
        <v>0</v>
      </c>
      <c r="AO78" s="2"/>
      <c r="AP78" s="2"/>
      <c r="AQ78" s="2" t="s">
        <v>48</v>
      </c>
      <c r="AR78" s="2" t="s">
        <v>853</v>
      </c>
      <c r="AS78" s="2" t="s">
        <v>1476</v>
      </c>
      <c r="AT78" s="2" t="s">
        <v>1477</v>
      </c>
      <c r="AU78" s="2" t="s">
        <v>1478</v>
      </c>
      <c r="AV78" s="2" t="s">
        <v>897</v>
      </c>
      <c r="AW78" s="2">
        <v>4.3647791935000004</v>
      </c>
      <c r="AX78" s="2">
        <v>50.863922322000001</v>
      </c>
    </row>
    <row r="79" spans="2:50" x14ac:dyDescent="0.25">
      <c r="B79" s="2">
        <v>376</v>
      </c>
      <c r="C79" s="2">
        <v>2146663</v>
      </c>
      <c r="D79" s="2" t="s">
        <v>397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23</v>
      </c>
      <c r="P79" s="2">
        <v>0</v>
      </c>
      <c r="Q79" s="2">
        <f>SUM(parking_data_1030[[#This Row],[Résidenti]:[Autres]])</f>
        <v>23</v>
      </c>
      <c r="R79" s="2">
        <v>23</v>
      </c>
      <c r="S79" s="2">
        <v>0</v>
      </c>
      <c r="T79" s="2" t="s">
        <v>43</v>
      </c>
      <c r="U79" s="2" t="s">
        <v>44</v>
      </c>
      <c r="V79" s="2" t="s">
        <v>45</v>
      </c>
      <c r="W79" s="2">
        <v>1</v>
      </c>
      <c r="X79" s="2">
        <v>1</v>
      </c>
      <c r="Y79" s="2">
        <v>1</v>
      </c>
      <c r="Z79" s="2">
        <v>0</v>
      </c>
      <c r="AA79" s="2">
        <v>1</v>
      </c>
      <c r="AB79" s="2"/>
      <c r="AC79" s="2">
        <v>0</v>
      </c>
      <c r="AD79" s="2"/>
      <c r="AE79" s="2" t="s">
        <v>52</v>
      </c>
      <c r="AF79" s="2">
        <v>0</v>
      </c>
      <c r="AG79" s="2">
        <v>0</v>
      </c>
      <c r="AH79" s="2" t="s">
        <v>398</v>
      </c>
      <c r="AI79" s="2" t="s">
        <v>43</v>
      </c>
      <c r="AJ79" s="2">
        <v>0</v>
      </c>
      <c r="AK79" s="2">
        <v>23</v>
      </c>
      <c r="AL79" s="2" t="s">
        <v>399</v>
      </c>
      <c r="AM79" s="2">
        <v>0</v>
      </c>
      <c r="AN79" s="2">
        <v>0</v>
      </c>
      <c r="AO79" s="2"/>
      <c r="AP79" s="2"/>
      <c r="AQ79" s="2" t="s">
        <v>48</v>
      </c>
      <c r="AR79" s="2" t="s">
        <v>1174</v>
      </c>
      <c r="AS79" s="2" t="s">
        <v>1479</v>
      </c>
      <c r="AT79" s="2" t="s">
        <v>1480</v>
      </c>
      <c r="AU79" s="2" t="s">
        <v>1481</v>
      </c>
      <c r="AV79" s="2" t="s">
        <v>897</v>
      </c>
      <c r="AW79" s="2">
        <v>4.3644735338</v>
      </c>
      <c r="AX79" s="2">
        <v>50.863367226999998</v>
      </c>
    </row>
    <row r="80" spans="2:50" x14ac:dyDescent="0.25">
      <c r="B80" s="2">
        <v>195</v>
      </c>
      <c r="C80" s="2">
        <v>2159099</v>
      </c>
      <c r="D80" s="2" t="s">
        <v>173</v>
      </c>
      <c r="E80" s="2">
        <v>17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f>SUM(parking_data_1030[[#This Row],[Résidenti]:[Autres]])</f>
        <v>17</v>
      </c>
      <c r="R80" s="2">
        <v>0</v>
      </c>
      <c r="S80" s="2">
        <v>0</v>
      </c>
      <c r="T80" s="2" t="s">
        <v>43</v>
      </c>
      <c r="U80" s="2" t="s">
        <v>54</v>
      </c>
      <c r="V80" s="2" t="s">
        <v>45</v>
      </c>
      <c r="W80" s="2">
        <v>1</v>
      </c>
      <c r="X80" s="2">
        <v>1</v>
      </c>
      <c r="Y80" s="2">
        <v>0</v>
      </c>
      <c r="Z80" s="2">
        <v>0</v>
      </c>
      <c r="AA80" s="2">
        <v>0</v>
      </c>
      <c r="AB80" s="2"/>
      <c r="AC80" s="2">
        <v>0</v>
      </c>
      <c r="AD80" s="2"/>
      <c r="AE80" s="2" t="s">
        <v>46</v>
      </c>
      <c r="AF80" s="2">
        <v>0</v>
      </c>
      <c r="AG80" s="2">
        <v>0</v>
      </c>
      <c r="AH80" s="2"/>
      <c r="AI80" s="2" t="s">
        <v>43</v>
      </c>
      <c r="AJ80" s="2">
        <v>0</v>
      </c>
      <c r="AK80" s="2">
        <v>0</v>
      </c>
      <c r="AL80" s="2"/>
      <c r="AM80" s="2">
        <v>0</v>
      </c>
      <c r="AN80" s="2">
        <v>0</v>
      </c>
      <c r="AO80" s="2"/>
      <c r="AP80" s="2"/>
      <c r="AQ80" s="2" t="s">
        <v>48</v>
      </c>
      <c r="AR80" s="2" t="s">
        <v>1216</v>
      </c>
      <c r="AS80" s="2" t="s">
        <v>1217</v>
      </c>
      <c r="AT80" s="2" t="s">
        <v>1218</v>
      </c>
      <c r="AU80" s="2" t="s">
        <v>1215</v>
      </c>
      <c r="AV80" s="2" t="s">
        <v>1142</v>
      </c>
      <c r="AW80" s="2">
        <v>4.3998737880999998</v>
      </c>
      <c r="AX80" s="2">
        <v>50.849890179799999</v>
      </c>
    </row>
    <row r="81" spans="2:50" x14ac:dyDescent="0.25">
      <c r="B81" s="2">
        <v>211</v>
      </c>
      <c r="C81" s="2">
        <v>2158668</v>
      </c>
      <c r="D81" s="2" t="s">
        <v>155</v>
      </c>
      <c r="E81" s="2">
        <v>15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f>SUM(parking_data_1030[[#This Row],[Résidenti]:[Autres]])</f>
        <v>15</v>
      </c>
      <c r="R81" s="2">
        <v>0</v>
      </c>
      <c r="S81" s="2">
        <v>0</v>
      </c>
      <c r="T81" s="2" t="s">
        <v>43</v>
      </c>
      <c r="U81" s="2" t="s">
        <v>44</v>
      </c>
      <c r="V81" s="2" t="s">
        <v>45</v>
      </c>
      <c r="W81" s="2">
        <v>1</v>
      </c>
      <c r="X81" s="2">
        <v>1</v>
      </c>
      <c r="Y81" s="2">
        <v>0</v>
      </c>
      <c r="Z81" s="2">
        <v>0</v>
      </c>
      <c r="AA81" s="2">
        <v>0</v>
      </c>
      <c r="AB81" s="2"/>
      <c r="AC81" s="2">
        <v>0</v>
      </c>
      <c r="AD81" s="2"/>
      <c r="AE81" s="2" t="s">
        <v>46</v>
      </c>
      <c r="AF81" s="2">
        <v>0</v>
      </c>
      <c r="AG81" s="2">
        <v>0</v>
      </c>
      <c r="AH81" s="2"/>
      <c r="AI81" s="2" t="s">
        <v>43</v>
      </c>
      <c r="AJ81" s="2">
        <v>0</v>
      </c>
      <c r="AK81" s="2">
        <v>0</v>
      </c>
      <c r="AL81" s="2"/>
      <c r="AM81" s="2">
        <v>0</v>
      </c>
      <c r="AN81" s="2">
        <v>0</v>
      </c>
      <c r="AO81" s="2"/>
      <c r="AP81" s="2"/>
      <c r="AQ81" s="2" t="s">
        <v>48</v>
      </c>
      <c r="AR81" s="2" t="s">
        <v>1138</v>
      </c>
      <c r="AS81" s="2" t="s">
        <v>1217</v>
      </c>
      <c r="AT81" s="2" t="s">
        <v>1218</v>
      </c>
      <c r="AU81" s="2" t="s">
        <v>1236</v>
      </c>
      <c r="AV81" s="2" t="s">
        <v>1142</v>
      </c>
      <c r="AW81" s="2">
        <v>4.3983759374</v>
      </c>
      <c r="AX81" s="2">
        <v>50.850415635499999</v>
      </c>
    </row>
    <row r="82" spans="2:50" x14ac:dyDescent="0.25">
      <c r="B82" s="2">
        <v>241</v>
      </c>
      <c r="C82" s="2">
        <v>10005783</v>
      </c>
      <c r="D82" s="2" t="s">
        <v>187</v>
      </c>
      <c r="E82" s="2">
        <v>22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f>SUM(parking_data_1030[[#This Row],[Résidenti]:[Autres]])</f>
        <v>22</v>
      </c>
      <c r="R82" s="2">
        <v>0</v>
      </c>
      <c r="S82" s="2">
        <v>0</v>
      </c>
      <c r="T82" s="2" t="s">
        <v>43</v>
      </c>
      <c r="U82" s="2" t="s">
        <v>44</v>
      </c>
      <c r="V82" s="2" t="s">
        <v>45</v>
      </c>
      <c r="W82" s="2">
        <v>1</v>
      </c>
      <c r="X82" s="2">
        <v>1</v>
      </c>
      <c r="Y82" s="2">
        <v>0</v>
      </c>
      <c r="Z82" s="2">
        <v>0</v>
      </c>
      <c r="AA82" s="2">
        <v>0</v>
      </c>
      <c r="AB82" s="2"/>
      <c r="AC82" s="2">
        <v>0</v>
      </c>
      <c r="AD82" s="2"/>
      <c r="AE82" s="2" t="s">
        <v>46</v>
      </c>
      <c r="AF82" s="2">
        <v>0</v>
      </c>
      <c r="AG82" s="2">
        <v>0</v>
      </c>
      <c r="AH82" s="2"/>
      <c r="AI82" s="2" t="s">
        <v>43</v>
      </c>
      <c r="AJ82" s="2">
        <v>0</v>
      </c>
      <c r="AK82" s="2">
        <v>0</v>
      </c>
      <c r="AL82" s="2"/>
      <c r="AM82" s="2">
        <v>0</v>
      </c>
      <c r="AN82" s="2">
        <v>0</v>
      </c>
      <c r="AO82" s="2"/>
      <c r="AP82" s="2"/>
      <c r="AQ82" s="2" t="s">
        <v>48</v>
      </c>
      <c r="AR82" s="2" t="s">
        <v>1279</v>
      </c>
      <c r="AS82" s="2" t="s">
        <v>1217</v>
      </c>
      <c r="AT82" s="2" t="s">
        <v>1218</v>
      </c>
      <c r="AU82" s="2" t="s">
        <v>1280</v>
      </c>
      <c r="AV82" s="2" t="s">
        <v>1142</v>
      </c>
      <c r="AW82" s="2">
        <v>4.3932430355000003</v>
      </c>
      <c r="AX82" s="2">
        <v>50.852171530100001</v>
      </c>
    </row>
    <row r="83" spans="2:50" x14ac:dyDescent="0.25">
      <c r="B83" s="2">
        <v>242</v>
      </c>
      <c r="C83" s="2">
        <v>3000390</v>
      </c>
      <c r="D83" s="2" t="s">
        <v>188</v>
      </c>
      <c r="E83" s="2">
        <v>17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f>SUM(parking_data_1030[[#This Row],[Résidenti]:[Autres]])</f>
        <v>17</v>
      </c>
      <c r="R83" s="2">
        <v>0</v>
      </c>
      <c r="S83" s="2">
        <v>0</v>
      </c>
      <c r="T83" s="2" t="s">
        <v>43</v>
      </c>
      <c r="U83" s="2" t="s">
        <v>54</v>
      </c>
      <c r="V83" s="2" t="s">
        <v>45</v>
      </c>
      <c r="W83" s="2">
        <v>0</v>
      </c>
      <c r="X83" s="2">
        <v>1</v>
      </c>
      <c r="Y83" s="2">
        <v>0</v>
      </c>
      <c r="Z83" s="2">
        <v>1</v>
      </c>
      <c r="AA83" s="2">
        <v>0</v>
      </c>
      <c r="AB83" s="2"/>
      <c r="AC83" s="2">
        <v>0</v>
      </c>
      <c r="AD83" s="2"/>
      <c r="AE83" s="2" t="s">
        <v>46</v>
      </c>
      <c r="AF83" s="2">
        <v>0</v>
      </c>
      <c r="AG83" s="2">
        <v>0</v>
      </c>
      <c r="AH83" s="2" t="s">
        <v>55</v>
      </c>
      <c r="AI83" s="2" t="s">
        <v>43</v>
      </c>
      <c r="AJ83" s="2">
        <v>0</v>
      </c>
      <c r="AK83" s="2">
        <v>0</v>
      </c>
      <c r="AL83" s="2"/>
      <c r="AM83" s="2">
        <v>0</v>
      </c>
      <c r="AN83" s="2">
        <v>0</v>
      </c>
      <c r="AO83" s="2"/>
      <c r="AP83" s="2"/>
      <c r="AQ83" s="2" t="s">
        <v>48</v>
      </c>
      <c r="AR83" s="2" t="s">
        <v>931</v>
      </c>
      <c r="AS83" s="2" t="s">
        <v>1217</v>
      </c>
      <c r="AT83" s="2" t="s">
        <v>1218</v>
      </c>
      <c r="AU83" s="2" t="s">
        <v>1280</v>
      </c>
      <c r="AV83" s="2" t="s">
        <v>1142</v>
      </c>
      <c r="AW83" s="2">
        <v>4.3928738086000001</v>
      </c>
      <c r="AX83" s="2">
        <v>50.852360391600001</v>
      </c>
    </row>
    <row r="84" spans="2:50" x14ac:dyDescent="0.25">
      <c r="B84" s="2">
        <v>313</v>
      </c>
      <c r="C84" s="2">
        <v>2156980</v>
      </c>
      <c r="D84" s="2" t="s">
        <v>479</v>
      </c>
      <c r="E84" s="2">
        <v>59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f>SUM(parking_data_1030[[#This Row],[Résidenti]:[Autres]])</f>
        <v>59</v>
      </c>
      <c r="R84" s="2">
        <v>0</v>
      </c>
      <c r="S84" s="2">
        <v>0</v>
      </c>
      <c r="T84" s="2" t="s">
        <v>43</v>
      </c>
      <c r="U84" s="2" t="s">
        <v>54</v>
      </c>
      <c r="V84" s="2" t="s">
        <v>45</v>
      </c>
      <c r="W84" s="2">
        <v>1</v>
      </c>
      <c r="X84" s="2">
        <v>1</v>
      </c>
      <c r="Y84" s="2">
        <v>0</v>
      </c>
      <c r="Z84" s="2">
        <v>0</v>
      </c>
      <c r="AA84" s="2">
        <v>0</v>
      </c>
      <c r="AB84" s="2"/>
      <c r="AC84" s="2">
        <v>0</v>
      </c>
      <c r="AD84" s="2"/>
      <c r="AE84" s="2" t="s">
        <v>46</v>
      </c>
      <c r="AF84" s="2">
        <v>0</v>
      </c>
      <c r="AG84" s="2">
        <v>0</v>
      </c>
      <c r="AH84" s="2" t="s">
        <v>283</v>
      </c>
      <c r="AI84" s="2" t="s">
        <v>43</v>
      </c>
      <c r="AJ84" s="2">
        <v>0</v>
      </c>
      <c r="AK84" s="2">
        <v>0</v>
      </c>
      <c r="AL84" s="2"/>
      <c r="AM84" s="2">
        <v>0</v>
      </c>
      <c r="AN84" s="2">
        <v>0</v>
      </c>
      <c r="AO84" s="2"/>
      <c r="AP84" s="2"/>
      <c r="AQ84" s="2" t="s">
        <v>48</v>
      </c>
      <c r="AR84" s="2" t="s">
        <v>1390</v>
      </c>
      <c r="AS84" s="2" t="s">
        <v>1391</v>
      </c>
      <c r="AT84" s="2" t="s">
        <v>1392</v>
      </c>
      <c r="AU84" s="2" t="s">
        <v>1393</v>
      </c>
      <c r="AV84" s="2" t="s">
        <v>1137</v>
      </c>
      <c r="AW84" s="2">
        <v>4.3924371813</v>
      </c>
      <c r="AX84" s="2">
        <v>50.857910938700002</v>
      </c>
    </row>
    <row r="85" spans="2:50" x14ac:dyDescent="0.25">
      <c r="B85" s="2">
        <v>43</v>
      </c>
      <c r="C85" s="2">
        <v>2180651</v>
      </c>
      <c r="D85" s="2" t="s">
        <v>123</v>
      </c>
      <c r="E85" s="2">
        <v>15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f>SUM(parking_data_1030[[#This Row],[Résidenti]:[Autres]])</f>
        <v>15</v>
      </c>
      <c r="R85" s="2">
        <v>0</v>
      </c>
      <c r="S85" s="2">
        <v>0</v>
      </c>
      <c r="T85" s="2" t="s">
        <v>43</v>
      </c>
      <c r="U85" s="2" t="s">
        <v>44</v>
      </c>
      <c r="V85" s="2" t="s">
        <v>45</v>
      </c>
      <c r="W85" s="2">
        <v>0</v>
      </c>
      <c r="X85" s="2">
        <v>1</v>
      </c>
      <c r="Y85" s="2">
        <v>0</v>
      </c>
      <c r="Z85" s="2">
        <v>1</v>
      </c>
      <c r="AA85" s="2">
        <v>0</v>
      </c>
      <c r="AB85" s="2"/>
      <c r="AC85" s="2">
        <v>0</v>
      </c>
      <c r="AD85" s="2"/>
      <c r="AE85" s="2" t="s">
        <v>46</v>
      </c>
      <c r="AF85" s="2">
        <v>0</v>
      </c>
      <c r="AG85" s="2">
        <v>0</v>
      </c>
      <c r="AH85" s="2" t="s">
        <v>120</v>
      </c>
      <c r="AI85" s="2" t="s">
        <v>43</v>
      </c>
      <c r="AJ85" s="2">
        <v>0</v>
      </c>
      <c r="AK85" s="2">
        <v>0</v>
      </c>
      <c r="AL85" s="2"/>
      <c r="AM85" s="2">
        <v>0</v>
      </c>
      <c r="AN85" s="2">
        <v>0</v>
      </c>
      <c r="AO85" s="2"/>
      <c r="AP85" s="2"/>
      <c r="AQ85" s="2" t="s">
        <v>48</v>
      </c>
      <c r="AR85" s="2" t="s">
        <v>947</v>
      </c>
      <c r="AS85" s="2" t="s">
        <v>948</v>
      </c>
      <c r="AT85" s="2" t="s">
        <v>949</v>
      </c>
      <c r="AU85" s="2" t="s">
        <v>946</v>
      </c>
      <c r="AV85" s="2" t="s">
        <v>835</v>
      </c>
      <c r="AW85" s="2">
        <v>4.3924158475999997</v>
      </c>
      <c r="AX85" s="2">
        <v>50.874107649400003</v>
      </c>
    </row>
    <row r="86" spans="2:50" x14ac:dyDescent="0.25">
      <c r="B86" s="2">
        <v>56</v>
      </c>
      <c r="C86" s="2">
        <v>11020684</v>
      </c>
      <c r="D86" s="2" t="s">
        <v>86</v>
      </c>
      <c r="E86" s="2">
        <v>127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f>SUM(parking_data_1030[[#This Row],[Résidenti]:[Autres]])</f>
        <v>127</v>
      </c>
      <c r="R86" s="2">
        <v>0</v>
      </c>
      <c r="S86" s="2">
        <v>0</v>
      </c>
      <c r="T86" s="2" t="s">
        <v>43</v>
      </c>
      <c r="U86" s="2" t="s">
        <v>76</v>
      </c>
      <c r="V86" s="2" t="s">
        <v>45</v>
      </c>
      <c r="W86" s="2">
        <v>1</v>
      </c>
      <c r="X86" s="2">
        <v>1</v>
      </c>
      <c r="Y86" s="2">
        <v>0</v>
      </c>
      <c r="Z86" s="2">
        <v>0</v>
      </c>
      <c r="AA86" s="2">
        <v>0</v>
      </c>
      <c r="AB86" s="2"/>
      <c r="AC86" s="2">
        <v>0</v>
      </c>
      <c r="AD86" s="2"/>
      <c r="AE86" s="2" t="s">
        <v>46</v>
      </c>
      <c r="AF86" s="2">
        <v>0</v>
      </c>
      <c r="AG86" s="2">
        <v>0</v>
      </c>
      <c r="AH86" s="2" t="s">
        <v>87</v>
      </c>
      <c r="AI86" s="2" t="s">
        <v>43</v>
      </c>
      <c r="AJ86" s="2">
        <v>0</v>
      </c>
      <c r="AK86" s="2">
        <v>0</v>
      </c>
      <c r="AL86" s="2"/>
      <c r="AM86" s="2">
        <v>0</v>
      </c>
      <c r="AN86" s="2">
        <v>0</v>
      </c>
      <c r="AO86" s="2"/>
      <c r="AP86" s="2"/>
      <c r="AQ86" s="2" t="s">
        <v>48</v>
      </c>
      <c r="AR86" s="2" t="s">
        <v>981</v>
      </c>
      <c r="AS86" s="2" t="s">
        <v>948</v>
      </c>
      <c r="AT86" s="2" t="s">
        <v>949</v>
      </c>
      <c r="AU86" s="2" t="s">
        <v>982</v>
      </c>
      <c r="AV86" s="2" t="s">
        <v>835</v>
      </c>
      <c r="AW86" s="2">
        <v>4.3878389215000002</v>
      </c>
      <c r="AX86" s="2">
        <v>50.8720007712</v>
      </c>
    </row>
    <row r="87" spans="2:50" x14ac:dyDescent="0.25">
      <c r="B87" s="2">
        <v>457</v>
      </c>
      <c r="C87" s="2">
        <v>2180115</v>
      </c>
      <c r="D87" s="2" t="s">
        <v>565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f>SUM(parking_data_1030[[#This Row],[Résidenti]:[Autres]])</f>
        <v>0</v>
      </c>
      <c r="R87" s="2">
        <v>0</v>
      </c>
      <c r="S87" s="2">
        <v>0</v>
      </c>
      <c r="T87" s="2" t="s">
        <v>43</v>
      </c>
      <c r="U87" s="2" t="s">
        <v>44</v>
      </c>
      <c r="V87" s="2" t="s">
        <v>45</v>
      </c>
      <c r="W87" s="2">
        <v>0</v>
      </c>
      <c r="X87" s="2">
        <v>0</v>
      </c>
      <c r="Y87" s="2">
        <v>0</v>
      </c>
      <c r="Z87" s="2">
        <v>1</v>
      </c>
      <c r="AA87" s="2">
        <v>0</v>
      </c>
      <c r="AB87" s="2" t="s">
        <v>191</v>
      </c>
      <c r="AC87" s="2">
        <v>0</v>
      </c>
      <c r="AD87" s="2"/>
      <c r="AE87" s="2" t="s">
        <v>46</v>
      </c>
      <c r="AF87" s="2">
        <v>0</v>
      </c>
      <c r="AG87" s="2">
        <v>0</v>
      </c>
      <c r="AH87" s="2" t="s">
        <v>566</v>
      </c>
      <c r="AI87" s="2" t="s">
        <v>79</v>
      </c>
      <c r="AJ87" s="2">
        <v>0</v>
      </c>
      <c r="AK87" s="2">
        <v>0</v>
      </c>
      <c r="AL87" s="2"/>
      <c r="AM87" s="2">
        <v>0</v>
      </c>
      <c r="AN87" s="2">
        <v>0</v>
      </c>
      <c r="AO87" s="2"/>
      <c r="AP87" s="2"/>
      <c r="AQ87" s="2" t="s">
        <v>48</v>
      </c>
      <c r="AR87" s="2" t="s">
        <v>1578</v>
      </c>
      <c r="AS87" s="2" t="s">
        <v>948</v>
      </c>
      <c r="AT87" s="2" t="s">
        <v>949</v>
      </c>
      <c r="AU87" s="2" t="s">
        <v>1579</v>
      </c>
      <c r="AV87" s="2" t="s">
        <v>835</v>
      </c>
      <c r="AW87" s="2">
        <v>4.3917616813000002</v>
      </c>
      <c r="AX87" s="2">
        <v>50.8735048956</v>
      </c>
    </row>
    <row r="88" spans="2:50" x14ac:dyDescent="0.25">
      <c r="B88" s="2">
        <v>214</v>
      </c>
      <c r="C88" s="2">
        <v>2158192</v>
      </c>
      <c r="D88" s="2" t="s">
        <v>158</v>
      </c>
      <c r="E88" s="2">
        <v>11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f>SUM(parking_data_1030[[#This Row],[Résidenti]:[Autres]])</f>
        <v>11</v>
      </c>
      <c r="R88" s="2">
        <v>0</v>
      </c>
      <c r="S88" s="2">
        <v>0</v>
      </c>
      <c r="T88" s="2" t="s">
        <v>43</v>
      </c>
      <c r="U88" s="2" t="s">
        <v>54</v>
      </c>
      <c r="V88" s="2" t="s">
        <v>45</v>
      </c>
      <c r="W88" s="2">
        <v>0</v>
      </c>
      <c r="X88" s="2">
        <v>1</v>
      </c>
      <c r="Y88" s="2">
        <v>0</v>
      </c>
      <c r="Z88" s="2">
        <v>1</v>
      </c>
      <c r="AA88" s="2">
        <v>0</v>
      </c>
      <c r="AB88" s="2"/>
      <c r="AC88" s="2">
        <v>0</v>
      </c>
      <c r="AD88" s="2"/>
      <c r="AE88" s="2" t="s">
        <v>106</v>
      </c>
      <c r="AF88" s="2">
        <v>0</v>
      </c>
      <c r="AG88" s="2">
        <v>0</v>
      </c>
      <c r="AH88" s="2" t="s">
        <v>55</v>
      </c>
      <c r="AI88" s="2" t="s">
        <v>43</v>
      </c>
      <c r="AJ88" s="2">
        <v>0</v>
      </c>
      <c r="AK88" s="2">
        <v>0</v>
      </c>
      <c r="AL88" s="2"/>
      <c r="AM88" s="2">
        <v>0</v>
      </c>
      <c r="AN88" s="2">
        <v>0</v>
      </c>
      <c r="AO88" s="2"/>
      <c r="AP88" s="2"/>
      <c r="AQ88" s="2" t="s">
        <v>48</v>
      </c>
      <c r="AR88" s="2" t="s">
        <v>1237</v>
      </c>
      <c r="AS88" s="2" t="s">
        <v>1238</v>
      </c>
      <c r="AT88" s="2" t="s">
        <v>1239</v>
      </c>
      <c r="AU88" s="2" t="s">
        <v>1240</v>
      </c>
      <c r="AV88" s="2" t="s">
        <v>1142</v>
      </c>
      <c r="AW88" s="2">
        <v>4.3990463087</v>
      </c>
      <c r="AX88" s="2">
        <v>50.851734440900003</v>
      </c>
    </row>
    <row r="89" spans="2:50" x14ac:dyDescent="0.25">
      <c r="B89" s="2">
        <v>215</v>
      </c>
      <c r="C89" s="2">
        <v>3000411</v>
      </c>
      <c r="D89" s="2" t="s">
        <v>159</v>
      </c>
      <c r="E89" s="2">
        <v>10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f>SUM(parking_data_1030[[#This Row],[Résidenti]:[Autres]])</f>
        <v>10</v>
      </c>
      <c r="R89" s="2">
        <v>0</v>
      </c>
      <c r="S89" s="2">
        <v>0</v>
      </c>
      <c r="T89" s="2" t="s">
        <v>43</v>
      </c>
      <c r="U89" s="2" t="s">
        <v>54</v>
      </c>
      <c r="V89" s="2" t="s">
        <v>45</v>
      </c>
      <c r="W89" s="2">
        <v>1</v>
      </c>
      <c r="X89" s="2">
        <v>1</v>
      </c>
      <c r="Y89" s="2">
        <v>0</v>
      </c>
      <c r="Z89" s="2">
        <v>0</v>
      </c>
      <c r="AA89" s="2">
        <v>0</v>
      </c>
      <c r="AB89" s="2"/>
      <c r="AC89" s="2">
        <v>0</v>
      </c>
      <c r="AD89" s="2"/>
      <c r="AE89" s="2" t="s">
        <v>106</v>
      </c>
      <c r="AF89" s="2">
        <v>0</v>
      </c>
      <c r="AG89" s="2">
        <v>0</v>
      </c>
      <c r="AH89" s="2"/>
      <c r="AI89" s="2" t="s">
        <v>43</v>
      </c>
      <c r="AJ89" s="2">
        <v>0</v>
      </c>
      <c r="AK89" s="2">
        <v>0</v>
      </c>
      <c r="AL89" s="2"/>
      <c r="AM89" s="2">
        <v>0</v>
      </c>
      <c r="AN89" s="2">
        <v>0</v>
      </c>
      <c r="AO89" s="2"/>
      <c r="AP89" s="2"/>
      <c r="AQ89" s="2" t="s">
        <v>48</v>
      </c>
      <c r="AR89" s="2" t="s">
        <v>1241</v>
      </c>
      <c r="AS89" s="2" t="s">
        <v>1238</v>
      </c>
      <c r="AT89" s="2" t="s">
        <v>1239</v>
      </c>
      <c r="AU89" s="2" t="s">
        <v>1240</v>
      </c>
      <c r="AV89" s="2" t="s">
        <v>1142</v>
      </c>
      <c r="AW89" s="2">
        <v>4.3984367972999996</v>
      </c>
      <c r="AX89" s="2">
        <v>50.851590903199998</v>
      </c>
    </row>
    <row r="90" spans="2:50" x14ac:dyDescent="0.25">
      <c r="B90" s="2">
        <v>216</v>
      </c>
      <c r="C90" s="2">
        <v>2158178</v>
      </c>
      <c r="D90" s="2" t="s">
        <v>143</v>
      </c>
      <c r="E90" s="2">
        <v>12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f>SUM(parking_data_1030[[#This Row],[Résidenti]:[Autres]])</f>
        <v>12</v>
      </c>
      <c r="R90" s="2">
        <v>0</v>
      </c>
      <c r="S90" s="2">
        <v>0</v>
      </c>
      <c r="T90" s="2" t="s">
        <v>43</v>
      </c>
      <c r="U90" s="2" t="s">
        <v>54</v>
      </c>
      <c r="V90" s="2" t="s">
        <v>45</v>
      </c>
      <c r="W90" s="2">
        <v>1</v>
      </c>
      <c r="X90" s="2">
        <v>1</v>
      </c>
      <c r="Y90" s="2">
        <v>0</v>
      </c>
      <c r="Z90" s="2">
        <v>0</v>
      </c>
      <c r="AA90" s="2">
        <v>0</v>
      </c>
      <c r="AB90" s="2"/>
      <c r="AC90" s="2">
        <v>0</v>
      </c>
      <c r="AD90" s="2"/>
      <c r="AE90" s="2" t="s">
        <v>106</v>
      </c>
      <c r="AF90" s="2">
        <v>0</v>
      </c>
      <c r="AG90" s="2">
        <v>0</v>
      </c>
      <c r="AH90" s="2"/>
      <c r="AI90" s="2" t="s">
        <v>43</v>
      </c>
      <c r="AJ90" s="2">
        <v>0</v>
      </c>
      <c r="AK90" s="2">
        <v>0</v>
      </c>
      <c r="AL90" s="2"/>
      <c r="AM90" s="2">
        <v>0</v>
      </c>
      <c r="AN90" s="2">
        <v>0</v>
      </c>
      <c r="AO90" s="2"/>
      <c r="AP90" s="2"/>
      <c r="AQ90" s="2" t="s">
        <v>48</v>
      </c>
      <c r="AR90" s="2" t="s">
        <v>1242</v>
      </c>
      <c r="AS90" s="2" t="s">
        <v>1238</v>
      </c>
      <c r="AT90" s="2" t="s">
        <v>1239</v>
      </c>
      <c r="AU90" s="2" t="s">
        <v>1240</v>
      </c>
      <c r="AV90" s="2" t="s">
        <v>1142</v>
      </c>
      <c r="AW90" s="2">
        <v>4.3987006301999996</v>
      </c>
      <c r="AX90" s="2">
        <v>50.851649516800002</v>
      </c>
    </row>
    <row r="91" spans="2:50" x14ac:dyDescent="0.25">
      <c r="B91" s="2">
        <v>26</v>
      </c>
      <c r="C91" s="2">
        <v>2176061</v>
      </c>
      <c r="D91" s="2" t="s">
        <v>810</v>
      </c>
      <c r="E91" s="2">
        <v>0</v>
      </c>
      <c r="F91" s="2">
        <v>0</v>
      </c>
      <c r="G91" s="2">
        <v>0</v>
      </c>
      <c r="H91" s="2">
        <v>0</v>
      </c>
      <c r="I91" s="2">
        <v>45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f>SUM(parking_data_1030[[#This Row],[Résidenti]:[Autres]])</f>
        <v>45</v>
      </c>
      <c r="R91" s="2">
        <v>25</v>
      </c>
      <c r="S91" s="2">
        <v>25</v>
      </c>
      <c r="T91" s="2" t="s">
        <v>43</v>
      </c>
      <c r="U91" s="2" t="s">
        <v>76</v>
      </c>
      <c r="V91" s="2" t="s">
        <v>45</v>
      </c>
      <c r="W91" s="2">
        <v>0</v>
      </c>
      <c r="X91" s="2">
        <v>1</v>
      </c>
      <c r="Y91" s="2">
        <v>1</v>
      </c>
      <c r="Z91" s="2">
        <v>0</v>
      </c>
      <c r="AA91" s="2">
        <v>1</v>
      </c>
      <c r="AB91" s="2"/>
      <c r="AC91" s="2">
        <v>0</v>
      </c>
      <c r="AD91" s="2"/>
      <c r="AE91" s="2" t="s">
        <v>46</v>
      </c>
      <c r="AF91" s="2">
        <v>0</v>
      </c>
      <c r="AG91" s="2">
        <v>0</v>
      </c>
      <c r="AH91" s="2" t="s">
        <v>811</v>
      </c>
      <c r="AI91" s="2" t="s">
        <v>43</v>
      </c>
      <c r="AJ91" s="2">
        <v>0</v>
      </c>
      <c r="AK91" s="2">
        <v>45</v>
      </c>
      <c r="AL91" s="2"/>
      <c r="AM91" s="2">
        <v>0</v>
      </c>
      <c r="AN91" s="2">
        <v>0</v>
      </c>
      <c r="AO91" s="2"/>
      <c r="AP91" s="2"/>
      <c r="AQ91" s="2" t="s">
        <v>48</v>
      </c>
      <c r="AR91" s="2" t="s">
        <v>901</v>
      </c>
      <c r="AS91" s="2" t="s">
        <v>902</v>
      </c>
      <c r="AT91" s="2" t="s">
        <v>903</v>
      </c>
      <c r="AU91" s="2" t="s">
        <v>904</v>
      </c>
      <c r="AV91" s="2" t="s">
        <v>835</v>
      </c>
      <c r="AW91" s="2">
        <v>4.3827752941</v>
      </c>
      <c r="AX91" s="2">
        <v>50.874175187799999</v>
      </c>
    </row>
    <row r="92" spans="2:50" x14ac:dyDescent="0.25">
      <c r="B92" s="2">
        <v>269</v>
      </c>
      <c r="C92" s="2">
        <v>2156383</v>
      </c>
      <c r="D92" s="2" t="s">
        <v>463</v>
      </c>
      <c r="E92" s="2">
        <v>34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f>SUM(parking_data_1030[[#This Row],[Résidenti]:[Autres]])</f>
        <v>34</v>
      </c>
      <c r="R92" s="2">
        <v>0</v>
      </c>
      <c r="S92" s="2">
        <v>0</v>
      </c>
      <c r="T92" s="2" t="s">
        <v>79</v>
      </c>
      <c r="U92" s="2" t="s">
        <v>44</v>
      </c>
      <c r="V92" s="2" t="s">
        <v>45</v>
      </c>
      <c r="W92" s="2">
        <v>0</v>
      </c>
      <c r="X92" s="2">
        <v>0</v>
      </c>
      <c r="Y92" s="2">
        <v>0</v>
      </c>
      <c r="Z92" s="2">
        <v>0</v>
      </c>
      <c r="AA92" s="2">
        <v>1</v>
      </c>
      <c r="AB92" s="2" t="s">
        <v>191</v>
      </c>
      <c r="AC92" s="2">
        <v>0</v>
      </c>
      <c r="AD92" s="2"/>
      <c r="AE92" s="2" t="s">
        <v>46</v>
      </c>
      <c r="AF92" s="2">
        <v>0</v>
      </c>
      <c r="AG92" s="2">
        <v>0</v>
      </c>
      <c r="AH92" s="2" t="s">
        <v>464</v>
      </c>
      <c r="AI92" s="2" t="s">
        <v>43</v>
      </c>
      <c r="AJ92" s="2">
        <v>0</v>
      </c>
      <c r="AK92" s="2">
        <v>0</v>
      </c>
      <c r="AL92" s="2"/>
      <c r="AM92" s="2">
        <v>0</v>
      </c>
      <c r="AN92" s="2">
        <v>0</v>
      </c>
      <c r="AO92" s="2"/>
      <c r="AP92" s="2"/>
      <c r="AQ92" s="2" t="s">
        <v>48</v>
      </c>
      <c r="AR92" s="2" t="s">
        <v>1004</v>
      </c>
      <c r="AS92" s="2" t="s">
        <v>1314</v>
      </c>
      <c r="AT92" s="2" t="s">
        <v>1315</v>
      </c>
      <c r="AU92" s="2" t="s">
        <v>1313</v>
      </c>
      <c r="AV92" s="2" t="s">
        <v>1137</v>
      </c>
      <c r="AW92" s="2">
        <v>4.3918698532000002</v>
      </c>
      <c r="AX92" s="2">
        <v>50.855593356200004</v>
      </c>
    </row>
    <row r="93" spans="2:50" x14ac:dyDescent="0.25">
      <c r="B93" s="2">
        <v>4</v>
      </c>
      <c r="C93" s="2">
        <v>2175802</v>
      </c>
      <c r="D93" s="2" t="s">
        <v>82</v>
      </c>
      <c r="E93" s="2">
        <v>31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f>SUM(parking_data_1030[[#This Row],[Résidenti]:[Autres]])</f>
        <v>31</v>
      </c>
      <c r="R93" s="2">
        <v>0</v>
      </c>
      <c r="S93" s="2">
        <v>0</v>
      </c>
      <c r="T93" s="2" t="s">
        <v>43</v>
      </c>
      <c r="U93" s="2" t="s">
        <v>44</v>
      </c>
      <c r="V93" s="2" t="s">
        <v>45</v>
      </c>
      <c r="W93" s="2">
        <v>1</v>
      </c>
      <c r="X93" s="2">
        <v>1</v>
      </c>
      <c r="Y93" s="2">
        <v>0</v>
      </c>
      <c r="Z93" s="2">
        <v>0</v>
      </c>
      <c r="AA93" s="2">
        <v>0</v>
      </c>
      <c r="AB93" s="2"/>
      <c r="AC93" s="2">
        <v>0</v>
      </c>
      <c r="AD93" s="2"/>
      <c r="AE93" s="2" t="s">
        <v>52</v>
      </c>
      <c r="AF93" s="2">
        <v>0</v>
      </c>
      <c r="AG93" s="2">
        <v>0</v>
      </c>
      <c r="AH93" s="2"/>
      <c r="AI93" s="2" t="s">
        <v>43</v>
      </c>
      <c r="AJ93" s="2">
        <v>0</v>
      </c>
      <c r="AK93" s="2">
        <v>0</v>
      </c>
      <c r="AL93" s="2"/>
      <c r="AM93" s="2">
        <v>0</v>
      </c>
      <c r="AN93" s="2">
        <v>0</v>
      </c>
      <c r="AO93" s="2"/>
      <c r="AP93" s="2"/>
      <c r="AQ93" s="2" t="s">
        <v>48</v>
      </c>
      <c r="AR93" s="2" t="s">
        <v>845</v>
      </c>
      <c r="AS93" s="2" t="s">
        <v>846</v>
      </c>
      <c r="AT93" s="2" t="s">
        <v>847</v>
      </c>
      <c r="AU93" s="2" t="s">
        <v>848</v>
      </c>
      <c r="AV93" s="2" t="s">
        <v>835</v>
      </c>
      <c r="AW93" s="2">
        <v>4.3802468013000002</v>
      </c>
      <c r="AX93" s="2">
        <v>50.8759823551</v>
      </c>
    </row>
    <row r="94" spans="2:50" x14ac:dyDescent="0.25">
      <c r="B94" s="2">
        <v>307</v>
      </c>
      <c r="C94" s="2">
        <v>2157316</v>
      </c>
      <c r="D94" s="2" t="s">
        <v>492</v>
      </c>
      <c r="E94" s="2">
        <v>12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f>SUM(parking_data_1030[[#This Row],[Résidenti]:[Autres]])</f>
        <v>12</v>
      </c>
      <c r="R94" s="2">
        <v>0</v>
      </c>
      <c r="S94" s="2">
        <v>0</v>
      </c>
      <c r="T94" s="2" t="s">
        <v>43</v>
      </c>
      <c r="U94" s="2" t="s">
        <v>54</v>
      </c>
      <c r="V94" s="2" t="s">
        <v>45</v>
      </c>
      <c r="W94" s="2">
        <v>0</v>
      </c>
      <c r="X94" s="2">
        <v>1</v>
      </c>
      <c r="Y94" s="2">
        <v>0</v>
      </c>
      <c r="Z94" s="2">
        <v>1</v>
      </c>
      <c r="AA94" s="2">
        <v>0</v>
      </c>
      <c r="AB94" s="2"/>
      <c r="AC94" s="2">
        <v>0</v>
      </c>
      <c r="AD94" s="2"/>
      <c r="AE94" s="2" t="s">
        <v>46</v>
      </c>
      <c r="AF94" s="2">
        <v>0</v>
      </c>
      <c r="AG94" s="2">
        <v>0</v>
      </c>
      <c r="AH94" s="2" t="s">
        <v>55</v>
      </c>
      <c r="AI94" s="2" t="s">
        <v>43</v>
      </c>
      <c r="AJ94" s="2">
        <v>0</v>
      </c>
      <c r="AK94" s="2">
        <v>0</v>
      </c>
      <c r="AL94" s="2"/>
      <c r="AM94" s="2">
        <v>0</v>
      </c>
      <c r="AN94" s="2">
        <v>0</v>
      </c>
      <c r="AO94" s="2"/>
      <c r="AP94" s="2"/>
      <c r="AQ94" s="2" t="s">
        <v>48</v>
      </c>
      <c r="AR94" s="2" t="s">
        <v>1377</v>
      </c>
      <c r="AS94" s="2" t="s">
        <v>1378</v>
      </c>
      <c r="AT94" s="2" t="s">
        <v>1379</v>
      </c>
      <c r="AU94" s="2" t="s">
        <v>1380</v>
      </c>
      <c r="AV94" s="2" t="s">
        <v>1137</v>
      </c>
      <c r="AW94" s="2">
        <v>4.3963766940999998</v>
      </c>
      <c r="AX94" s="2">
        <v>50.856067861</v>
      </c>
    </row>
    <row r="95" spans="2:50" x14ac:dyDescent="0.25">
      <c r="B95" s="2">
        <v>309</v>
      </c>
      <c r="C95" s="2">
        <v>2157218</v>
      </c>
      <c r="D95" s="2" t="s">
        <v>494</v>
      </c>
      <c r="E95" s="2">
        <v>52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f>SUM(parking_data_1030[[#This Row],[Résidenti]:[Autres]])</f>
        <v>52</v>
      </c>
      <c r="R95" s="2">
        <v>0</v>
      </c>
      <c r="S95" s="2">
        <v>0</v>
      </c>
      <c r="T95" s="2" t="s">
        <v>43</v>
      </c>
      <c r="U95" s="2" t="s">
        <v>76</v>
      </c>
      <c r="V95" s="2" t="s">
        <v>45</v>
      </c>
      <c r="W95" s="2">
        <v>1</v>
      </c>
      <c r="X95" s="2">
        <v>1</v>
      </c>
      <c r="Y95" s="2">
        <v>0</v>
      </c>
      <c r="Z95" s="2">
        <v>0</v>
      </c>
      <c r="AA95" s="2">
        <v>0</v>
      </c>
      <c r="AB95" s="2"/>
      <c r="AC95" s="2">
        <v>0</v>
      </c>
      <c r="AD95" s="2"/>
      <c r="AE95" s="2" t="s">
        <v>46</v>
      </c>
      <c r="AF95" s="2">
        <v>0</v>
      </c>
      <c r="AG95" s="2">
        <v>0</v>
      </c>
      <c r="AH95" s="2"/>
      <c r="AI95" s="2" t="s">
        <v>43</v>
      </c>
      <c r="AJ95" s="2">
        <v>0</v>
      </c>
      <c r="AK95" s="2">
        <v>0</v>
      </c>
      <c r="AL95" s="2"/>
      <c r="AM95" s="2">
        <v>0</v>
      </c>
      <c r="AN95" s="2">
        <v>0</v>
      </c>
      <c r="AO95" s="2"/>
      <c r="AP95" s="2"/>
      <c r="AQ95" s="2" t="s">
        <v>48</v>
      </c>
      <c r="AR95" s="2" t="s">
        <v>1384</v>
      </c>
      <c r="AS95" s="2" t="s">
        <v>1378</v>
      </c>
      <c r="AT95" s="2" t="s">
        <v>1379</v>
      </c>
      <c r="AU95" s="2" t="s">
        <v>1385</v>
      </c>
      <c r="AV95" s="2" t="s">
        <v>1137</v>
      </c>
      <c r="AW95" s="2">
        <v>4.3933971591000001</v>
      </c>
      <c r="AX95" s="2">
        <v>50.857923237599998</v>
      </c>
    </row>
    <row r="96" spans="2:50" x14ac:dyDescent="0.25">
      <c r="B96" s="2">
        <v>310</v>
      </c>
      <c r="C96" s="2">
        <v>2133639</v>
      </c>
      <c r="D96" s="2" t="s">
        <v>495</v>
      </c>
      <c r="E96" s="2">
        <v>10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f>SUM(parking_data_1030[[#This Row],[Résidenti]:[Autres]])</f>
        <v>10</v>
      </c>
      <c r="R96" s="2">
        <v>0</v>
      </c>
      <c r="S96" s="2">
        <v>0</v>
      </c>
      <c r="T96" s="2" t="s">
        <v>43</v>
      </c>
      <c r="U96" s="2" t="s">
        <v>44</v>
      </c>
      <c r="V96" s="2" t="s">
        <v>45</v>
      </c>
      <c r="W96" s="2">
        <v>0</v>
      </c>
      <c r="X96" s="2">
        <v>1</v>
      </c>
      <c r="Y96" s="2">
        <v>0</v>
      </c>
      <c r="Z96" s="2">
        <v>1</v>
      </c>
      <c r="AA96" s="2">
        <v>0</v>
      </c>
      <c r="AB96" s="2"/>
      <c r="AC96" s="2">
        <v>0</v>
      </c>
      <c r="AD96" s="2"/>
      <c r="AE96" s="2" t="s">
        <v>46</v>
      </c>
      <c r="AF96" s="2">
        <v>0</v>
      </c>
      <c r="AG96" s="2">
        <v>0</v>
      </c>
      <c r="AH96" s="2" t="s">
        <v>74</v>
      </c>
      <c r="AI96" s="2" t="s">
        <v>43</v>
      </c>
      <c r="AJ96" s="2">
        <v>0</v>
      </c>
      <c r="AK96" s="2">
        <v>0</v>
      </c>
      <c r="AL96" s="2"/>
      <c r="AM96" s="2">
        <v>0</v>
      </c>
      <c r="AN96" s="2">
        <v>0</v>
      </c>
      <c r="AO96" s="2"/>
      <c r="AP96" s="2"/>
      <c r="AQ96" s="2" t="s">
        <v>48</v>
      </c>
      <c r="AR96" s="2" t="s">
        <v>1093</v>
      </c>
      <c r="AS96" s="2" t="s">
        <v>1378</v>
      </c>
      <c r="AT96" s="2" t="s">
        <v>1379</v>
      </c>
      <c r="AU96" s="2" t="s">
        <v>1385</v>
      </c>
      <c r="AV96" s="2" t="s">
        <v>1137</v>
      </c>
      <c r="AW96" s="2">
        <v>4.3930874541999998</v>
      </c>
      <c r="AX96" s="2">
        <v>50.858111337700002</v>
      </c>
    </row>
    <row r="97" spans="2:50" x14ac:dyDescent="0.25">
      <c r="B97" s="2">
        <v>314</v>
      </c>
      <c r="C97" s="2">
        <v>3000416</v>
      </c>
      <c r="D97" s="2" t="s">
        <v>480</v>
      </c>
      <c r="E97" s="2">
        <v>10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f>SUM(parking_data_1030[[#This Row],[Résidenti]:[Autres]])</f>
        <v>10</v>
      </c>
      <c r="R97" s="2">
        <v>0</v>
      </c>
      <c r="S97" s="2">
        <v>0</v>
      </c>
      <c r="T97" s="2" t="s">
        <v>43</v>
      </c>
      <c r="U97" s="2" t="s">
        <v>54</v>
      </c>
      <c r="V97" s="2" t="s">
        <v>45</v>
      </c>
      <c r="W97" s="2">
        <v>1</v>
      </c>
      <c r="X97" s="2">
        <v>1</v>
      </c>
      <c r="Y97" s="2">
        <v>0</v>
      </c>
      <c r="Z97" s="2">
        <v>0</v>
      </c>
      <c r="AA97" s="2">
        <v>0</v>
      </c>
      <c r="AB97" s="2"/>
      <c r="AC97" s="2">
        <v>0</v>
      </c>
      <c r="AD97" s="2"/>
      <c r="AE97" s="2" t="s">
        <v>46</v>
      </c>
      <c r="AF97" s="2">
        <v>0</v>
      </c>
      <c r="AG97" s="2">
        <v>0</v>
      </c>
      <c r="AH97" s="2"/>
      <c r="AI97" s="2" t="s">
        <v>43</v>
      </c>
      <c r="AJ97" s="2">
        <v>0</v>
      </c>
      <c r="AK97" s="2">
        <v>0</v>
      </c>
      <c r="AL97" s="2"/>
      <c r="AM97" s="2">
        <v>0</v>
      </c>
      <c r="AN97" s="2">
        <v>0</v>
      </c>
      <c r="AO97" s="2"/>
      <c r="AP97" s="2"/>
      <c r="AQ97" s="2" t="s">
        <v>48</v>
      </c>
      <c r="AR97" s="2" t="s">
        <v>874</v>
      </c>
      <c r="AS97" s="2" t="s">
        <v>1378</v>
      </c>
      <c r="AT97" s="2" t="s">
        <v>1379</v>
      </c>
      <c r="AU97" s="2" t="s">
        <v>1393</v>
      </c>
      <c r="AV97" s="2" t="s">
        <v>1137</v>
      </c>
      <c r="AW97" s="2">
        <v>4.3922304454000001</v>
      </c>
      <c r="AX97" s="2">
        <v>50.858501562000001</v>
      </c>
    </row>
    <row r="98" spans="2:50" x14ac:dyDescent="0.25">
      <c r="B98" s="2">
        <v>209</v>
      </c>
      <c r="C98" s="2">
        <v>2158575</v>
      </c>
      <c r="D98" s="2" t="s">
        <v>153</v>
      </c>
      <c r="E98" s="2">
        <v>13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f>SUM(parking_data_1030[[#This Row],[Résidenti]:[Autres]])</f>
        <v>13</v>
      </c>
      <c r="R98" s="2">
        <v>0</v>
      </c>
      <c r="S98" s="2">
        <v>0</v>
      </c>
      <c r="T98" s="2" t="s">
        <v>43</v>
      </c>
      <c r="U98" s="2" t="s">
        <v>76</v>
      </c>
      <c r="V98" s="2" t="s">
        <v>45</v>
      </c>
      <c r="W98" s="2">
        <v>1</v>
      </c>
      <c r="X98" s="2">
        <v>1</v>
      </c>
      <c r="Y98" s="2">
        <v>0</v>
      </c>
      <c r="Z98" s="2">
        <v>0</v>
      </c>
      <c r="AA98" s="2">
        <v>0</v>
      </c>
      <c r="AB98" s="2"/>
      <c r="AC98" s="2">
        <v>0</v>
      </c>
      <c r="AD98" s="2"/>
      <c r="AE98" s="2" t="s">
        <v>106</v>
      </c>
      <c r="AF98" s="2">
        <v>0</v>
      </c>
      <c r="AG98" s="2">
        <v>0</v>
      </c>
      <c r="AH98" s="2"/>
      <c r="AI98" s="2" t="s">
        <v>43</v>
      </c>
      <c r="AJ98" s="2">
        <v>0</v>
      </c>
      <c r="AK98" s="2">
        <v>0</v>
      </c>
      <c r="AL98" s="2"/>
      <c r="AM98" s="2">
        <v>0</v>
      </c>
      <c r="AN98" s="2">
        <v>0</v>
      </c>
      <c r="AO98" s="2"/>
      <c r="AP98" s="2"/>
      <c r="AQ98" s="2" t="s">
        <v>48</v>
      </c>
      <c r="AR98" s="2" t="s">
        <v>931</v>
      </c>
      <c r="AS98" s="2" t="s">
        <v>1139</v>
      </c>
      <c r="AT98" s="2" t="s">
        <v>1140</v>
      </c>
      <c r="AU98" s="2" t="s">
        <v>1233</v>
      </c>
      <c r="AV98" s="2" t="s">
        <v>1142</v>
      </c>
      <c r="AW98" s="2">
        <v>4.3951155098000001</v>
      </c>
      <c r="AX98" s="2">
        <v>50.849026813800002</v>
      </c>
    </row>
    <row r="99" spans="2:50" x14ac:dyDescent="0.25">
      <c r="B99" s="2">
        <v>217</v>
      </c>
      <c r="C99" s="2">
        <v>2158090</v>
      </c>
      <c r="D99" s="2" t="s">
        <v>144</v>
      </c>
      <c r="E99" s="2">
        <v>30</v>
      </c>
      <c r="F99" s="2">
        <v>0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f>SUM(parking_data_1030[[#This Row],[Résidenti]:[Autres]])</f>
        <v>30</v>
      </c>
      <c r="R99" s="2">
        <v>0</v>
      </c>
      <c r="S99" s="2">
        <v>0</v>
      </c>
      <c r="T99" s="2" t="s">
        <v>43</v>
      </c>
      <c r="U99" s="2" t="s">
        <v>44</v>
      </c>
      <c r="V99" s="2" t="s">
        <v>45</v>
      </c>
      <c r="W99" s="2">
        <v>1</v>
      </c>
      <c r="X99" s="2">
        <v>1</v>
      </c>
      <c r="Y99" s="2">
        <v>0</v>
      </c>
      <c r="Z99" s="2">
        <v>0</v>
      </c>
      <c r="AA99" s="2">
        <v>0</v>
      </c>
      <c r="AB99" s="2"/>
      <c r="AC99" s="2">
        <v>0</v>
      </c>
      <c r="AD99" s="2"/>
      <c r="AE99" s="2" t="s">
        <v>106</v>
      </c>
      <c r="AF99" s="2">
        <v>0</v>
      </c>
      <c r="AG99" s="2">
        <v>0</v>
      </c>
      <c r="AH99" s="2"/>
      <c r="AI99" s="2" t="s">
        <v>43</v>
      </c>
      <c r="AJ99" s="2">
        <v>0</v>
      </c>
      <c r="AK99" s="2">
        <v>0</v>
      </c>
      <c r="AL99" s="2"/>
      <c r="AM99" s="2">
        <v>0</v>
      </c>
      <c r="AN99" s="2">
        <v>0</v>
      </c>
      <c r="AO99" s="2"/>
      <c r="AP99" s="2"/>
      <c r="AQ99" s="2" t="s">
        <v>48</v>
      </c>
      <c r="AR99" s="2" t="s">
        <v>1243</v>
      </c>
      <c r="AS99" s="2" t="s">
        <v>1139</v>
      </c>
      <c r="AT99" s="2" t="s">
        <v>1140</v>
      </c>
      <c r="AU99" s="2" t="s">
        <v>1240</v>
      </c>
      <c r="AV99" s="2" t="s">
        <v>1142</v>
      </c>
      <c r="AW99" s="2">
        <v>4.3970929505000003</v>
      </c>
      <c r="AX99" s="2">
        <v>50.851583038699999</v>
      </c>
    </row>
    <row r="100" spans="2:50" x14ac:dyDescent="0.25">
      <c r="B100" s="2">
        <v>225</v>
      </c>
      <c r="C100" s="2">
        <v>2157812</v>
      </c>
      <c r="D100" s="2" t="s">
        <v>214</v>
      </c>
      <c r="E100" s="2">
        <v>12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f>SUM(parking_data_1030[[#This Row],[Résidenti]:[Autres]])</f>
        <v>12</v>
      </c>
      <c r="R100" s="2">
        <v>0</v>
      </c>
      <c r="S100" s="2">
        <v>0</v>
      </c>
      <c r="T100" s="2" t="s">
        <v>43</v>
      </c>
      <c r="U100" s="2" t="s">
        <v>54</v>
      </c>
      <c r="V100" s="2" t="s">
        <v>59</v>
      </c>
      <c r="W100" s="2">
        <v>0</v>
      </c>
      <c r="X100" s="2">
        <v>1</v>
      </c>
      <c r="Y100" s="2">
        <v>0</v>
      </c>
      <c r="Z100" s="2">
        <v>1</v>
      </c>
      <c r="AA100" s="2">
        <v>0</v>
      </c>
      <c r="AB100" s="2"/>
      <c r="AC100" s="2">
        <v>0</v>
      </c>
      <c r="AD100" s="2"/>
      <c r="AE100" s="2" t="s">
        <v>46</v>
      </c>
      <c r="AF100" s="2">
        <v>0</v>
      </c>
      <c r="AG100" s="2">
        <v>0</v>
      </c>
      <c r="AH100" s="2" t="s">
        <v>74</v>
      </c>
      <c r="AI100" s="2" t="s">
        <v>43</v>
      </c>
      <c r="AJ100" s="2">
        <v>0</v>
      </c>
      <c r="AK100" s="2">
        <v>0</v>
      </c>
      <c r="AL100" s="2"/>
      <c r="AM100" s="2">
        <v>0</v>
      </c>
      <c r="AN100" s="2">
        <v>0</v>
      </c>
      <c r="AO100" s="2"/>
      <c r="AP100" s="2"/>
      <c r="AQ100" s="2" t="s">
        <v>48</v>
      </c>
      <c r="AR100" s="2" t="s">
        <v>1253</v>
      </c>
      <c r="AS100" s="2" t="s">
        <v>1139</v>
      </c>
      <c r="AT100" s="2" t="s">
        <v>1140</v>
      </c>
      <c r="AU100" s="2" t="s">
        <v>1254</v>
      </c>
      <c r="AV100" s="2" t="s">
        <v>1142</v>
      </c>
      <c r="AW100" s="2">
        <v>4.3974675037999997</v>
      </c>
      <c r="AX100" s="2">
        <v>50.853865212899997</v>
      </c>
    </row>
    <row r="101" spans="2:50" x14ac:dyDescent="0.25">
      <c r="B101" s="2">
        <v>232</v>
      </c>
      <c r="C101" s="2">
        <v>2157964</v>
      </c>
      <c r="D101" s="2" t="s">
        <v>198</v>
      </c>
      <c r="E101" s="2">
        <v>0</v>
      </c>
      <c r="F101" s="2">
        <v>0</v>
      </c>
      <c r="G101" s="2">
        <v>0</v>
      </c>
      <c r="H101" s="2">
        <v>62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f>SUM(parking_data_1030[[#This Row],[Résidenti]:[Autres]])</f>
        <v>62</v>
      </c>
      <c r="R101" s="2">
        <v>0</v>
      </c>
      <c r="S101" s="2">
        <v>0</v>
      </c>
      <c r="T101" s="2" t="s">
        <v>43</v>
      </c>
      <c r="U101" s="2" t="s">
        <v>199</v>
      </c>
      <c r="V101" s="2" t="s">
        <v>59</v>
      </c>
      <c r="W101" s="2">
        <v>1</v>
      </c>
      <c r="X101" s="2">
        <v>1</v>
      </c>
      <c r="Y101" s="2">
        <v>0</v>
      </c>
      <c r="Z101" s="2">
        <v>0</v>
      </c>
      <c r="AA101" s="2">
        <v>0</v>
      </c>
      <c r="AB101" s="2" t="s">
        <v>200</v>
      </c>
      <c r="AC101" s="2">
        <v>0</v>
      </c>
      <c r="AD101" s="3">
        <v>47384</v>
      </c>
      <c r="AE101" s="2" t="s">
        <v>46</v>
      </c>
      <c r="AF101" s="2">
        <v>3800</v>
      </c>
      <c r="AG101" s="2">
        <v>38</v>
      </c>
      <c r="AH101" s="2" t="s">
        <v>201</v>
      </c>
      <c r="AI101" s="2" t="s">
        <v>43</v>
      </c>
      <c r="AJ101" s="2">
        <v>-14</v>
      </c>
      <c r="AK101" s="2">
        <v>62</v>
      </c>
      <c r="AL101" s="2" t="s">
        <v>202</v>
      </c>
      <c r="AM101" s="2">
        <v>9</v>
      </c>
      <c r="AN101" s="2">
        <v>0</v>
      </c>
      <c r="AO101" s="2" t="s">
        <v>203</v>
      </c>
      <c r="AP101" s="2"/>
      <c r="AQ101" s="2" t="s">
        <v>70</v>
      </c>
      <c r="AR101" s="2" t="s">
        <v>1138</v>
      </c>
      <c r="AS101" s="2" t="s">
        <v>1139</v>
      </c>
      <c r="AT101" s="2" t="s">
        <v>1140</v>
      </c>
      <c r="AU101" s="2" t="s">
        <v>1141</v>
      </c>
      <c r="AV101" s="2" t="s">
        <v>1142</v>
      </c>
      <c r="AW101" s="2">
        <v>4.3966153243999999</v>
      </c>
      <c r="AX101" s="2">
        <v>50.852110122799999</v>
      </c>
    </row>
    <row r="102" spans="2:50" x14ac:dyDescent="0.25">
      <c r="B102" s="2">
        <v>233</v>
      </c>
      <c r="C102" s="2">
        <v>2133765</v>
      </c>
      <c r="D102" s="2" t="s">
        <v>204</v>
      </c>
      <c r="E102" s="2">
        <v>12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f>SUM(parking_data_1030[[#This Row],[Résidenti]:[Autres]])</f>
        <v>12</v>
      </c>
      <c r="R102" s="2">
        <v>0</v>
      </c>
      <c r="S102" s="2">
        <v>0</v>
      </c>
      <c r="T102" s="2" t="s">
        <v>43</v>
      </c>
      <c r="U102" s="2" t="s">
        <v>44</v>
      </c>
      <c r="V102" s="2" t="s">
        <v>59</v>
      </c>
      <c r="W102" s="2">
        <v>1</v>
      </c>
      <c r="X102" s="2">
        <v>1</v>
      </c>
      <c r="Y102" s="2">
        <v>0</v>
      </c>
      <c r="Z102" s="2">
        <v>0</v>
      </c>
      <c r="AA102" s="2">
        <v>0</v>
      </c>
      <c r="AB102" s="2"/>
      <c r="AC102" s="2">
        <v>0</v>
      </c>
      <c r="AD102" s="2"/>
      <c r="AE102" s="2" t="s">
        <v>106</v>
      </c>
      <c r="AF102" s="2">
        <v>0</v>
      </c>
      <c r="AG102" s="2">
        <v>0</v>
      </c>
      <c r="AH102" s="2"/>
      <c r="AI102" s="2" t="s">
        <v>43</v>
      </c>
      <c r="AJ102" s="2">
        <v>0</v>
      </c>
      <c r="AK102" s="2">
        <v>0</v>
      </c>
      <c r="AL102" s="2"/>
      <c r="AM102" s="2">
        <v>0</v>
      </c>
      <c r="AN102" s="2">
        <v>0</v>
      </c>
      <c r="AO102" s="2"/>
      <c r="AP102" s="2"/>
      <c r="AQ102" s="2" t="s">
        <v>48</v>
      </c>
      <c r="AR102" s="2" t="s">
        <v>1266</v>
      </c>
      <c r="AS102" s="2" t="s">
        <v>1139</v>
      </c>
      <c r="AT102" s="2" t="s">
        <v>1140</v>
      </c>
      <c r="AU102" s="2" t="s">
        <v>1141</v>
      </c>
      <c r="AV102" s="2" t="s">
        <v>1142</v>
      </c>
      <c r="AW102" s="2">
        <v>4.3963435382</v>
      </c>
      <c r="AX102" s="2">
        <v>50.851418809599998</v>
      </c>
    </row>
    <row r="103" spans="2:50" x14ac:dyDescent="0.25">
      <c r="B103" s="2">
        <v>234</v>
      </c>
      <c r="C103" s="2">
        <v>3001546</v>
      </c>
      <c r="D103" s="2" t="s">
        <v>205</v>
      </c>
      <c r="E103" s="2">
        <v>0</v>
      </c>
      <c r="F103" s="2">
        <v>0</v>
      </c>
      <c r="G103" s="2">
        <v>0</v>
      </c>
      <c r="H103" s="2">
        <v>18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f>SUM(parking_data_1030[[#This Row],[Résidenti]:[Autres]])</f>
        <v>18</v>
      </c>
      <c r="R103" s="2">
        <v>0</v>
      </c>
      <c r="S103" s="2">
        <v>0</v>
      </c>
      <c r="T103" s="2" t="s">
        <v>43</v>
      </c>
      <c r="U103" s="2" t="s">
        <v>76</v>
      </c>
      <c r="V103" s="2" t="s">
        <v>45</v>
      </c>
      <c r="W103" s="2">
        <v>1</v>
      </c>
      <c r="X103" s="2">
        <v>1</v>
      </c>
      <c r="Y103" s="2">
        <v>0</v>
      </c>
      <c r="Z103" s="2">
        <v>0</v>
      </c>
      <c r="AA103" s="2">
        <v>0</v>
      </c>
      <c r="AB103" s="2"/>
      <c r="AC103" s="2">
        <v>0</v>
      </c>
      <c r="AD103" s="3">
        <v>45255</v>
      </c>
      <c r="AE103" s="2" t="s">
        <v>106</v>
      </c>
      <c r="AF103" s="2">
        <v>3000</v>
      </c>
      <c r="AG103" s="2">
        <v>50</v>
      </c>
      <c r="AH103" s="2"/>
      <c r="AI103" s="2" t="s">
        <v>43</v>
      </c>
      <c r="AJ103" s="2">
        <v>32</v>
      </c>
      <c r="AK103" s="2">
        <v>18</v>
      </c>
      <c r="AL103" s="2"/>
      <c r="AM103" s="2">
        <v>0</v>
      </c>
      <c r="AN103" s="2">
        <v>0</v>
      </c>
      <c r="AO103" s="2"/>
      <c r="AP103" s="2"/>
      <c r="AQ103" s="2" t="s">
        <v>48</v>
      </c>
      <c r="AR103" s="2" t="s">
        <v>1207</v>
      </c>
      <c r="AS103" s="2" t="s">
        <v>1588</v>
      </c>
      <c r="AT103" s="2" t="s">
        <v>1589</v>
      </c>
      <c r="AU103" s="2" t="s">
        <v>1141</v>
      </c>
      <c r="AV103" s="2" t="s">
        <v>1142</v>
      </c>
      <c r="AW103" s="2">
        <v>4.3958998532000004</v>
      </c>
      <c r="AX103" s="2">
        <v>50.851232641400003</v>
      </c>
    </row>
    <row r="104" spans="2:50" x14ac:dyDescent="0.25">
      <c r="B104" s="2">
        <v>302</v>
      </c>
      <c r="C104" s="2">
        <v>3001054</v>
      </c>
      <c r="D104" s="2" t="s">
        <v>506</v>
      </c>
      <c r="E104" s="2">
        <v>95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f>SUM(parking_data_1030[[#This Row],[Résidenti]:[Autres]])</f>
        <v>95</v>
      </c>
      <c r="R104" s="2">
        <v>0</v>
      </c>
      <c r="S104" s="2">
        <v>0</v>
      </c>
      <c r="T104" s="2" t="s">
        <v>43</v>
      </c>
      <c r="U104" s="2" t="s">
        <v>54</v>
      </c>
      <c r="V104" s="2" t="s">
        <v>45</v>
      </c>
      <c r="W104" s="2">
        <v>1</v>
      </c>
      <c r="X104" s="2">
        <v>1</v>
      </c>
      <c r="Y104" s="2">
        <v>0</v>
      </c>
      <c r="Z104" s="2">
        <v>0</v>
      </c>
      <c r="AA104" s="2">
        <v>0</v>
      </c>
      <c r="AB104" s="2"/>
      <c r="AC104" s="2">
        <v>0</v>
      </c>
      <c r="AD104" s="2"/>
      <c r="AE104" s="2" t="s">
        <v>46</v>
      </c>
      <c r="AF104" s="2">
        <v>0</v>
      </c>
      <c r="AG104" s="2">
        <v>0</v>
      </c>
      <c r="AH104" s="2"/>
      <c r="AI104" s="2" t="s">
        <v>43</v>
      </c>
      <c r="AJ104" s="2">
        <v>0</v>
      </c>
      <c r="AK104" s="2">
        <v>0</v>
      </c>
      <c r="AL104" s="2"/>
      <c r="AM104" s="2">
        <v>0</v>
      </c>
      <c r="AN104" s="2">
        <v>0</v>
      </c>
      <c r="AO104" s="2"/>
      <c r="AP104" s="2"/>
      <c r="AQ104" s="2" t="s">
        <v>48</v>
      </c>
      <c r="AR104" s="2" t="s">
        <v>1225</v>
      </c>
      <c r="AS104" s="2" t="s">
        <v>1368</v>
      </c>
      <c r="AT104" s="2" t="s">
        <v>1369</v>
      </c>
      <c r="AU104" s="2" t="s">
        <v>1370</v>
      </c>
      <c r="AV104" s="2" t="s">
        <v>1137</v>
      </c>
      <c r="AW104" s="2">
        <v>4.3809252424</v>
      </c>
      <c r="AX104" s="2">
        <v>50.8572270198</v>
      </c>
    </row>
    <row r="105" spans="2:50" x14ac:dyDescent="0.25">
      <c r="B105" s="2">
        <v>236</v>
      </c>
      <c r="C105" s="2">
        <v>2133747</v>
      </c>
      <c r="D105" s="2" t="s">
        <v>207</v>
      </c>
      <c r="E105" s="2">
        <v>10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f>SUM(parking_data_1030[[#This Row],[Résidenti]:[Autres]])</f>
        <v>10</v>
      </c>
      <c r="R105" s="2">
        <v>0</v>
      </c>
      <c r="S105" s="2">
        <v>0</v>
      </c>
      <c r="T105" s="2" t="s">
        <v>43</v>
      </c>
      <c r="U105" s="2" t="s">
        <v>44</v>
      </c>
      <c r="V105" s="2" t="s">
        <v>59</v>
      </c>
      <c r="W105" s="2">
        <v>1</v>
      </c>
      <c r="X105" s="2">
        <v>1</v>
      </c>
      <c r="Y105" s="2">
        <v>0</v>
      </c>
      <c r="Z105" s="2">
        <v>0</v>
      </c>
      <c r="AA105" s="2">
        <v>0</v>
      </c>
      <c r="AB105" s="2"/>
      <c r="AC105" s="2">
        <v>0</v>
      </c>
      <c r="AD105" s="2"/>
      <c r="AE105" s="2" t="s">
        <v>106</v>
      </c>
      <c r="AF105" s="2">
        <v>0</v>
      </c>
      <c r="AG105" s="2">
        <v>0</v>
      </c>
      <c r="AH105" s="2" t="s">
        <v>208</v>
      </c>
      <c r="AI105" s="2" t="s">
        <v>43</v>
      </c>
      <c r="AJ105" s="2">
        <v>0</v>
      </c>
      <c r="AK105" s="2">
        <v>0</v>
      </c>
      <c r="AL105" s="2"/>
      <c r="AM105" s="2">
        <v>0</v>
      </c>
      <c r="AN105" s="2">
        <v>0</v>
      </c>
      <c r="AO105" s="2"/>
      <c r="AP105" s="2"/>
      <c r="AQ105" s="2" t="s">
        <v>48</v>
      </c>
      <c r="AR105" s="2" t="s">
        <v>1093</v>
      </c>
      <c r="AS105" s="2" t="s">
        <v>1268</v>
      </c>
      <c r="AT105" s="2" t="s">
        <v>1269</v>
      </c>
      <c r="AU105" s="2" t="s">
        <v>1270</v>
      </c>
      <c r="AV105" s="2" t="s">
        <v>1142</v>
      </c>
      <c r="AW105" s="2">
        <v>4.3935370214000002</v>
      </c>
      <c r="AX105" s="2">
        <v>50.849811679299997</v>
      </c>
    </row>
    <row r="106" spans="2:50" x14ac:dyDescent="0.25">
      <c r="B106" s="2">
        <v>253</v>
      </c>
      <c r="C106" s="2">
        <v>10002621</v>
      </c>
      <c r="D106" s="2" t="s">
        <v>183</v>
      </c>
      <c r="E106" s="2">
        <v>58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f>SUM(parking_data_1030[[#This Row],[Résidenti]:[Autres]])</f>
        <v>58</v>
      </c>
      <c r="R106" s="2">
        <v>0</v>
      </c>
      <c r="S106" s="2">
        <v>0</v>
      </c>
      <c r="T106" s="2" t="s">
        <v>43</v>
      </c>
      <c r="U106" s="2" t="s">
        <v>76</v>
      </c>
      <c r="V106" s="2" t="s">
        <v>45</v>
      </c>
      <c r="W106" s="2">
        <v>1</v>
      </c>
      <c r="X106" s="2">
        <v>1</v>
      </c>
      <c r="Y106" s="2">
        <v>0</v>
      </c>
      <c r="Z106" s="2">
        <v>0</v>
      </c>
      <c r="AA106" s="2">
        <v>0</v>
      </c>
      <c r="AB106" s="2"/>
      <c r="AC106" s="2">
        <v>0</v>
      </c>
      <c r="AD106" s="2"/>
      <c r="AE106" s="2" t="s">
        <v>106</v>
      </c>
      <c r="AF106" s="2">
        <v>0</v>
      </c>
      <c r="AG106" s="2">
        <v>0</v>
      </c>
      <c r="AH106" s="2"/>
      <c r="AI106" s="2" t="s">
        <v>43</v>
      </c>
      <c r="AJ106" s="2">
        <v>0</v>
      </c>
      <c r="AK106" s="2">
        <v>0</v>
      </c>
      <c r="AL106" s="2"/>
      <c r="AM106" s="2">
        <v>0</v>
      </c>
      <c r="AN106" s="2">
        <v>0</v>
      </c>
      <c r="AO106" s="2"/>
      <c r="AP106" s="2"/>
      <c r="AQ106" s="2" t="s">
        <v>48</v>
      </c>
      <c r="AR106" s="2" t="s">
        <v>1296</v>
      </c>
      <c r="AS106" s="2" t="s">
        <v>1268</v>
      </c>
      <c r="AT106" s="2" t="s">
        <v>1269</v>
      </c>
      <c r="AU106" s="2" t="s">
        <v>1295</v>
      </c>
      <c r="AV106" s="2" t="s">
        <v>1142</v>
      </c>
      <c r="AW106" s="2">
        <v>4.3904963972999997</v>
      </c>
      <c r="AX106" s="2">
        <v>50.851488203199999</v>
      </c>
    </row>
    <row r="107" spans="2:50" x14ac:dyDescent="0.25">
      <c r="B107" s="2">
        <v>40</v>
      </c>
      <c r="C107" s="2">
        <v>2180392</v>
      </c>
      <c r="D107" s="2" t="s">
        <v>117</v>
      </c>
      <c r="E107" s="2">
        <v>33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f>SUM(parking_data_1030[[#This Row],[Résidenti]:[Autres]])</f>
        <v>33</v>
      </c>
      <c r="R107" s="2">
        <v>0</v>
      </c>
      <c r="S107" s="2">
        <v>0</v>
      </c>
      <c r="T107" s="2" t="s">
        <v>43</v>
      </c>
      <c r="U107" s="2" t="s">
        <v>44</v>
      </c>
      <c r="V107" s="2" t="s">
        <v>45</v>
      </c>
      <c r="W107" s="2">
        <v>1</v>
      </c>
      <c r="X107" s="2">
        <v>1</v>
      </c>
      <c r="Y107" s="2">
        <v>0</v>
      </c>
      <c r="Z107" s="2">
        <v>0</v>
      </c>
      <c r="AA107" s="2">
        <v>0</v>
      </c>
      <c r="AB107" s="2"/>
      <c r="AC107" s="2">
        <v>0</v>
      </c>
      <c r="AD107" s="3">
        <v>47950</v>
      </c>
      <c r="AE107" s="2" t="s">
        <v>46</v>
      </c>
      <c r="AF107" s="2">
        <v>0</v>
      </c>
      <c r="AG107" s="2">
        <v>0</v>
      </c>
      <c r="AH107" s="2" t="s">
        <v>118</v>
      </c>
      <c r="AI107" s="2" t="s">
        <v>43</v>
      </c>
      <c r="AJ107" s="2">
        <v>0</v>
      </c>
      <c r="AK107" s="2">
        <v>0</v>
      </c>
      <c r="AL107" s="2"/>
      <c r="AM107" s="2">
        <v>0</v>
      </c>
      <c r="AN107" s="2">
        <v>0</v>
      </c>
      <c r="AO107" s="2"/>
      <c r="AP107" s="2"/>
      <c r="AQ107" s="2" t="s">
        <v>48</v>
      </c>
      <c r="AR107" s="2" t="s">
        <v>938</v>
      </c>
      <c r="AS107" s="2" t="s">
        <v>939</v>
      </c>
      <c r="AT107" s="2" t="s">
        <v>940</v>
      </c>
      <c r="AU107" s="2" t="s">
        <v>941</v>
      </c>
      <c r="AV107" s="2" t="s">
        <v>835</v>
      </c>
      <c r="AW107" s="2">
        <v>4.3901879591000004</v>
      </c>
      <c r="AX107" s="2">
        <v>50.8764763032</v>
      </c>
    </row>
    <row r="108" spans="2:50" x14ac:dyDescent="0.25">
      <c r="B108" s="2">
        <v>41</v>
      </c>
      <c r="C108" s="2">
        <v>2180398</v>
      </c>
      <c r="D108" s="2" t="s">
        <v>119</v>
      </c>
      <c r="E108" s="2">
        <v>70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f>SUM(parking_data_1030[[#This Row],[Résidenti]:[Autres]])</f>
        <v>70</v>
      </c>
      <c r="R108" s="2">
        <v>0</v>
      </c>
      <c r="S108" s="2">
        <v>0</v>
      </c>
      <c r="T108" s="2" t="s">
        <v>43</v>
      </c>
      <c r="U108" s="2" t="s">
        <v>44</v>
      </c>
      <c r="V108" s="2" t="s">
        <v>45</v>
      </c>
      <c r="W108" s="2">
        <v>0</v>
      </c>
      <c r="X108" s="2">
        <v>1</v>
      </c>
      <c r="Y108" s="2">
        <v>0</v>
      </c>
      <c r="Z108" s="2">
        <v>1</v>
      </c>
      <c r="AA108" s="2">
        <v>0</v>
      </c>
      <c r="AB108" s="2"/>
      <c r="AC108" s="2">
        <v>0</v>
      </c>
      <c r="AD108" s="2"/>
      <c r="AE108" s="2" t="s">
        <v>46</v>
      </c>
      <c r="AF108" s="2">
        <v>0</v>
      </c>
      <c r="AG108" s="2">
        <v>0</v>
      </c>
      <c r="AH108" s="2" t="s">
        <v>120</v>
      </c>
      <c r="AI108" s="2" t="s">
        <v>43</v>
      </c>
      <c r="AJ108" s="2">
        <v>0</v>
      </c>
      <c r="AK108" s="2">
        <v>0</v>
      </c>
      <c r="AL108" s="2"/>
      <c r="AM108" s="2">
        <v>0</v>
      </c>
      <c r="AN108" s="2">
        <v>0</v>
      </c>
      <c r="AO108" s="2"/>
      <c r="AP108" s="2"/>
      <c r="AQ108" s="2" t="s">
        <v>48</v>
      </c>
      <c r="AR108" s="2" t="s">
        <v>942</v>
      </c>
      <c r="AS108" s="2" t="s">
        <v>939</v>
      </c>
      <c r="AT108" s="2" t="s">
        <v>940</v>
      </c>
      <c r="AU108" s="2" t="s">
        <v>941</v>
      </c>
      <c r="AV108" s="2" t="s">
        <v>835</v>
      </c>
      <c r="AW108" s="2">
        <v>4.3903206710999996</v>
      </c>
      <c r="AX108" s="2">
        <v>50.876538224199997</v>
      </c>
    </row>
    <row r="109" spans="2:50" x14ac:dyDescent="0.25">
      <c r="B109" s="2">
        <v>130</v>
      </c>
      <c r="C109" s="2">
        <v>3000427</v>
      </c>
      <c r="D109" s="2" t="s">
        <v>260</v>
      </c>
      <c r="E109" s="2">
        <v>12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f>SUM(parking_data_1030[[#This Row],[Résidenti]:[Autres]])</f>
        <v>12</v>
      </c>
      <c r="R109" s="2">
        <v>0</v>
      </c>
      <c r="S109" s="2">
        <v>0</v>
      </c>
      <c r="T109" s="2" t="s">
        <v>43</v>
      </c>
      <c r="U109" s="2" t="s">
        <v>76</v>
      </c>
      <c r="V109" s="2" t="s">
        <v>45</v>
      </c>
      <c r="W109" s="2">
        <v>1</v>
      </c>
      <c r="X109" s="2">
        <v>0</v>
      </c>
      <c r="Y109" s="2">
        <v>0</v>
      </c>
      <c r="Z109" s="2">
        <v>0</v>
      </c>
      <c r="AA109" s="2">
        <v>0</v>
      </c>
      <c r="AB109" s="2" t="s">
        <v>60</v>
      </c>
      <c r="AC109" s="2">
        <v>0</v>
      </c>
      <c r="AD109" s="2"/>
      <c r="AE109" s="2" t="s">
        <v>46</v>
      </c>
      <c r="AF109" s="2">
        <v>0</v>
      </c>
      <c r="AG109" s="2">
        <v>0</v>
      </c>
      <c r="AH109" s="2" t="s">
        <v>259</v>
      </c>
      <c r="AI109" s="2" t="s">
        <v>43</v>
      </c>
      <c r="AJ109" s="2">
        <v>0</v>
      </c>
      <c r="AK109" s="2">
        <v>0</v>
      </c>
      <c r="AL109" s="2"/>
      <c r="AM109" s="2">
        <v>0</v>
      </c>
      <c r="AN109" s="2">
        <v>0</v>
      </c>
      <c r="AO109" s="2"/>
      <c r="AP109" s="2"/>
      <c r="AQ109" s="2" t="s">
        <v>48</v>
      </c>
      <c r="AR109" s="2" t="s">
        <v>874</v>
      </c>
      <c r="AS109" s="2" t="s">
        <v>1113</v>
      </c>
      <c r="AT109" s="2" t="s">
        <v>1114</v>
      </c>
      <c r="AU109" s="2" t="s">
        <v>1111</v>
      </c>
      <c r="AV109" s="2" t="s">
        <v>1058</v>
      </c>
      <c r="AW109" s="2">
        <v>4.4018232696000004</v>
      </c>
      <c r="AX109" s="2">
        <v>50.856342492899998</v>
      </c>
    </row>
    <row r="110" spans="2:50" x14ac:dyDescent="0.25">
      <c r="B110" s="2">
        <v>283</v>
      </c>
      <c r="C110" s="2">
        <v>8777869</v>
      </c>
      <c r="D110" s="2" t="s">
        <v>790</v>
      </c>
      <c r="E110" s="2">
        <v>11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f>SUM(parking_data_1030[[#This Row],[Résidenti]:[Autres]])</f>
        <v>11</v>
      </c>
      <c r="R110" s="2">
        <v>6</v>
      </c>
      <c r="S110" s="2">
        <v>6</v>
      </c>
      <c r="T110" s="2" t="s">
        <v>43</v>
      </c>
      <c r="U110" s="2" t="s">
        <v>76</v>
      </c>
      <c r="V110" s="2" t="s">
        <v>59</v>
      </c>
      <c r="W110" s="2">
        <v>0</v>
      </c>
      <c r="X110" s="2">
        <v>1</v>
      </c>
      <c r="Y110" s="2">
        <v>0</v>
      </c>
      <c r="Z110" s="2">
        <v>0</v>
      </c>
      <c r="AA110" s="2">
        <v>1</v>
      </c>
      <c r="AB110" s="2"/>
      <c r="AC110" s="2">
        <v>100</v>
      </c>
      <c r="AD110" s="2"/>
      <c r="AE110" s="2" t="s">
        <v>46</v>
      </c>
      <c r="AF110" s="2">
        <v>0</v>
      </c>
      <c r="AG110" s="2">
        <v>0</v>
      </c>
      <c r="AH110" s="2"/>
      <c r="AI110" s="2" t="s">
        <v>43</v>
      </c>
      <c r="AJ110" s="2">
        <v>0</v>
      </c>
      <c r="AK110" s="2">
        <v>0</v>
      </c>
      <c r="AL110" s="2"/>
      <c r="AM110" s="2">
        <v>0</v>
      </c>
      <c r="AN110" s="2">
        <v>0</v>
      </c>
      <c r="AO110" s="2"/>
      <c r="AP110" s="2"/>
      <c r="AQ110" s="2" t="s">
        <v>48</v>
      </c>
      <c r="AR110" s="2" t="s">
        <v>1080</v>
      </c>
      <c r="AS110" s="2" t="s">
        <v>1339</v>
      </c>
      <c r="AT110" s="2" t="s">
        <v>1340</v>
      </c>
      <c r="AU110" s="2" t="s">
        <v>1338</v>
      </c>
      <c r="AV110" s="2" t="s">
        <v>1137</v>
      </c>
      <c r="AW110" s="2">
        <v>4.3857914134999998</v>
      </c>
      <c r="AX110" s="2">
        <v>50.855014010799998</v>
      </c>
    </row>
    <row r="111" spans="2:50" x14ac:dyDescent="0.25">
      <c r="B111" s="2">
        <v>38</v>
      </c>
      <c r="C111" s="2">
        <v>2132513</v>
      </c>
      <c r="D111" s="2" t="s">
        <v>140</v>
      </c>
      <c r="E111" s="2">
        <v>12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f>SUM(parking_data_1030[[#This Row],[Résidenti]:[Autres]])</f>
        <v>12</v>
      </c>
      <c r="R111" s="2">
        <v>0</v>
      </c>
      <c r="S111" s="2">
        <v>0</v>
      </c>
      <c r="T111" s="2" t="s">
        <v>43</v>
      </c>
      <c r="U111" s="2" t="s">
        <v>76</v>
      </c>
      <c r="V111" s="2" t="s">
        <v>45</v>
      </c>
      <c r="W111" s="2">
        <v>0</v>
      </c>
      <c r="X111" s="2">
        <v>0</v>
      </c>
      <c r="Y111" s="2">
        <v>0</v>
      </c>
      <c r="Z111" s="2">
        <v>0</v>
      </c>
      <c r="AA111" s="2">
        <v>1</v>
      </c>
      <c r="AB111" s="2" t="s">
        <v>60</v>
      </c>
      <c r="AC111" s="2">
        <v>0</v>
      </c>
      <c r="AD111" s="2"/>
      <c r="AE111" s="2" t="s">
        <v>46</v>
      </c>
      <c r="AF111" s="2">
        <v>2629</v>
      </c>
      <c r="AG111" s="2">
        <v>27</v>
      </c>
      <c r="AH111" s="2" t="s">
        <v>141</v>
      </c>
      <c r="AI111" s="2" t="s">
        <v>43</v>
      </c>
      <c r="AJ111" s="2">
        <v>0</v>
      </c>
      <c r="AK111" s="2">
        <v>0</v>
      </c>
      <c r="AL111" s="2"/>
      <c r="AM111" s="2">
        <v>0</v>
      </c>
      <c r="AN111" s="2">
        <v>0</v>
      </c>
      <c r="AO111" s="2"/>
      <c r="AP111" s="2"/>
      <c r="AQ111" s="2" t="s">
        <v>48</v>
      </c>
      <c r="AR111" s="2" t="s">
        <v>931</v>
      </c>
      <c r="AS111" s="2" t="s">
        <v>932</v>
      </c>
      <c r="AT111" s="2" t="s">
        <v>933</v>
      </c>
      <c r="AU111" s="2" t="s">
        <v>923</v>
      </c>
      <c r="AV111" s="2" t="s">
        <v>835</v>
      </c>
      <c r="AW111" s="2">
        <v>4.3857887435</v>
      </c>
      <c r="AX111" s="2">
        <v>50.873841175400003</v>
      </c>
    </row>
    <row r="112" spans="2:50" x14ac:dyDescent="0.25">
      <c r="B112" s="2">
        <v>322</v>
      </c>
      <c r="C112" s="2">
        <v>2152587</v>
      </c>
      <c r="D112" s="2" t="s">
        <v>357</v>
      </c>
      <c r="E112" s="2">
        <v>10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f>SUM(parking_data_1030[[#This Row],[Résidenti]:[Autres]])</f>
        <v>10</v>
      </c>
      <c r="R112" s="2">
        <v>0</v>
      </c>
      <c r="S112" s="2">
        <v>0</v>
      </c>
      <c r="T112" s="2" t="s">
        <v>43</v>
      </c>
      <c r="U112" s="2" t="s">
        <v>54</v>
      </c>
      <c r="V112" s="2" t="s">
        <v>45</v>
      </c>
      <c r="W112" s="2">
        <v>0</v>
      </c>
      <c r="X112" s="2">
        <v>1</v>
      </c>
      <c r="Y112" s="2">
        <v>0</v>
      </c>
      <c r="Z112" s="2">
        <v>1</v>
      </c>
      <c r="AA112" s="2">
        <v>0</v>
      </c>
      <c r="AB112" s="2"/>
      <c r="AC112" s="2">
        <v>0</v>
      </c>
      <c r="AD112" s="2"/>
      <c r="AE112" s="2" t="s">
        <v>46</v>
      </c>
      <c r="AF112" s="2">
        <v>0</v>
      </c>
      <c r="AG112" s="2">
        <v>0</v>
      </c>
      <c r="AH112" s="2" t="s">
        <v>74</v>
      </c>
      <c r="AI112" s="2" t="s">
        <v>43</v>
      </c>
      <c r="AJ112" s="2">
        <v>0</v>
      </c>
      <c r="AK112" s="2">
        <v>0</v>
      </c>
      <c r="AL112" s="2"/>
      <c r="AM112" s="2">
        <v>0</v>
      </c>
      <c r="AN112" s="2">
        <v>0</v>
      </c>
      <c r="AO112" s="2"/>
      <c r="AP112" s="2"/>
      <c r="AQ112" s="2" t="s">
        <v>48</v>
      </c>
      <c r="AR112" s="2" t="s">
        <v>1038</v>
      </c>
      <c r="AS112" s="2" t="s">
        <v>1408</v>
      </c>
      <c r="AT112" s="2" t="s">
        <v>1409</v>
      </c>
      <c r="AU112" s="2" t="s">
        <v>1407</v>
      </c>
      <c r="AV112" s="2" t="s">
        <v>1137</v>
      </c>
      <c r="AW112" s="2">
        <v>4.3849087217999996</v>
      </c>
      <c r="AX112" s="2">
        <v>50.858744666500002</v>
      </c>
    </row>
    <row r="113" spans="2:50" x14ac:dyDescent="0.25">
      <c r="B113" s="2">
        <v>167</v>
      </c>
      <c r="C113" s="2">
        <v>1167508</v>
      </c>
      <c r="D113" s="2" t="s">
        <v>315</v>
      </c>
      <c r="E113" s="2">
        <v>0</v>
      </c>
      <c r="F113" s="2">
        <v>0</v>
      </c>
      <c r="G113" s="2">
        <v>0</v>
      </c>
      <c r="H113" s="2">
        <v>16</v>
      </c>
      <c r="I113" s="2">
        <v>0</v>
      </c>
      <c r="J113" s="2">
        <v>13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f>SUM(parking_data_1030[[#This Row],[Résidenti]:[Autres]])</f>
        <v>29</v>
      </c>
      <c r="R113" s="2">
        <v>0</v>
      </c>
      <c r="S113" s="2">
        <v>0</v>
      </c>
      <c r="T113" s="2" t="s">
        <v>43</v>
      </c>
      <c r="U113" s="2" t="s">
        <v>115</v>
      </c>
      <c r="V113" s="2" t="s">
        <v>45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/>
      <c r="AC113" s="2">
        <v>0</v>
      </c>
      <c r="AD113" s="2"/>
      <c r="AE113" s="2" t="s">
        <v>106</v>
      </c>
      <c r="AF113" s="2">
        <v>648</v>
      </c>
      <c r="AG113" s="2">
        <v>11</v>
      </c>
      <c r="AH113" s="2" t="s">
        <v>280</v>
      </c>
      <c r="AI113" s="2" t="s">
        <v>43</v>
      </c>
      <c r="AJ113" s="2">
        <v>-5</v>
      </c>
      <c r="AK113" s="2">
        <v>29</v>
      </c>
      <c r="AL113" s="2"/>
      <c r="AM113" s="2">
        <v>0</v>
      </c>
      <c r="AN113" s="2">
        <v>0</v>
      </c>
      <c r="AO113" s="2"/>
      <c r="AP113" s="2"/>
      <c r="AQ113" s="2" t="s">
        <v>48</v>
      </c>
      <c r="AR113" s="2" t="s">
        <v>907</v>
      </c>
      <c r="AS113" s="2" t="s">
        <v>1087</v>
      </c>
      <c r="AT113" s="2" t="s">
        <v>1088</v>
      </c>
      <c r="AU113" s="2" t="s">
        <v>1089</v>
      </c>
      <c r="AV113" s="2" t="s">
        <v>1090</v>
      </c>
      <c r="AW113" s="2">
        <v>4.3996974405999998</v>
      </c>
      <c r="AX113" s="2">
        <v>50.845314078299999</v>
      </c>
    </row>
    <row r="114" spans="2:50" x14ac:dyDescent="0.25">
      <c r="B114" s="2">
        <v>168</v>
      </c>
      <c r="C114" s="2"/>
      <c r="D114" s="2" t="s">
        <v>293</v>
      </c>
      <c r="E114" s="2">
        <v>21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f>SUM(parking_data_1030[[#This Row],[Résidenti]:[Autres]])</f>
        <v>21</v>
      </c>
      <c r="R114" s="2">
        <v>0</v>
      </c>
      <c r="S114" s="2">
        <v>0</v>
      </c>
      <c r="T114" s="2" t="s">
        <v>43</v>
      </c>
      <c r="U114" s="2" t="s">
        <v>76</v>
      </c>
      <c r="V114" s="2" t="s">
        <v>45</v>
      </c>
      <c r="W114" s="2">
        <v>1</v>
      </c>
      <c r="X114" s="2">
        <v>0</v>
      </c>
      <c r="Y114" s="2">
        <v>0</v>
      </c>
      <c r="Z114" s="2">
        <v>0</v>
      </c>
      <c r="AA114" s="2">
        <v>0</v>
      </c>
      <c r="AB114" s="2"/>
      <c r="AC114" s="2">
        <v>0</v>
      </c>
      <c r="AD114" s="2"/>
      <c r="AE114" s="2" t="s">
        <v>46</v>
      </c>
      <c r="AF114" s="2">
        <v>0</v>
      </c>
      <c r="AG114" s="2">
        <v>0</v>
      </c>
      <c r="AH114" s="2" t="s">
        <v>294</v>
      </c>
      <c r="AI114" s="2" t="s">
        <v>43</v>
      </c>
      <c r="AJ114" s="2">
        <v>0</v>
      </c>
      <c r="AK114" s="2">
        <v>0</v>
      </c>
      <c r="AL114" s="2"/>
      <c r="AM114" s="2">
        <v>0</v>
      </c>
      <c r="AN114" s="2">
        <v>0</v>
      </c>
      <c r="AO114" s="2"/>
      <c r="AP114" s="2"/>
      <c r="AQ114" s="2" t="s">
        <v>48</v>
      </c>
      <c r="AR114" s="12" t="s">
        <v>1548</v>
      </c>
      <c r="AS114" s="2" t="s">
        <v>1087</v>
      </c>
      <c r="AT114" s="2" t="s">
        <v>1088</v>
      </c>
      <c r="AU114" s="2" t="s">
        <v>1089</v>
      </c>
      <c r="AV114" s="2" t="s">
        <v>1090</v>
      </c>
      <c r="AW114" s="2">
        <v>4.4016942118999998</v>
      </c>
      <c r="AX114" s="2">
        <v>50.8457748545</v>
      </c>
    </row>
    <row r="115" spans="2:50" x14ac:dyDescent="0.25">
      <c r="B115" s="2">
        <v>169</v>
      </c>
      <c r="C115" s="2">
        <v>1166395</v>
      </c>
      <c r="D115" s="2" t="s">
        <v>295</v>
      </c>
      <c r="E115" s="2">
        <v>0</v>
      </c>
      <c r="F115" s="2">
        <v>0</v>
      </c>
      <c r="G115" s="2">
        <v>0</v>
      </c>
      <c r="H115" s="2">
        <v>26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f>SUM(parking_data_1030[[#This Row],[Résidenti]:[Autres]])</f>
        <v>26</v>
      </c>
      <c r="R115" s="2">
        <v>0</v>
      </c>
      <c r="S115" s="2">
        <v>0</v>
      </c>
      <c r="T115" s="2" t="s">
        <v>43</v>
      </c>
      <c r="U115" s="2" t="s">
        <v>76</v>
      </c>
      <c r="V115" s="2" t="s">
        <v>45</v>
      </c>
      <c r="W115" s="2">
        <v>0</v>
      </c>
      <c r="X115" s="2">
        <v>1</v>
      </c>
      <c r="Y115" s="2">
        <v>0</v>
      </c>
      <c r="Z115" s="2">
        <v>1</v>
      </c>
      <c r="AA115" s="2">
        <v>0</v>
      </c>
      <c r="AB115" s="2"/>
      <c r="AC115" s="2">
        <v>0</v>
      </c>
      <c r="AD115" s="2"/>
      <c r="AE115" s="2" t="s">
        <v>46</v>
      </c>
      <c r="AF115" s="2">
        <v>328</v>
      </c>
      <c r="AG115" s="2">
        <v>4</v>
      </c>
      <c r="AH115" s="2" t="s">
        <v>120</v>
      </c>
      <c r="AI115" s="2" t="s">
        <v>43</v>
      </c>
      <c r="AJ115" s="2">
        <v>-22</v>
      </c>
      <c r="AK115" s="2">
        <v>26</v>
      </c>
      <c r="AL115" s="2"/>
      <c r="AM115" s="2">
        <v>0</v>
      </c>
      <c r="AN115" s="2">
        <v>0</v>
      </c>
      <c r="AO115" s="2"/>
      <c r="AP115" s="2"/>
      <c r="AQ115" s="2" t="s">
        <v>48</v>
      </c>
      <c r="AR115" s="2" t="s">
        <v>986</v>
      </c>
      <c r="AS115" s="2" t="s">
        <v>1087</v>
      </c>
      <c r="AT115" s="2" t="s">
        <v>1088</v>
      </c>
      <c r="AU115" s="2" t="s">
        <v>1089</v>
      </c>
      <c r="AV115" s="2" t="s">
        <v>1090</v>
      </c>
      <c r="AW115" s="2">
        <v>4.4027096315999996</v>
      </c>
      <c r="AX115" s="2">
        <v>50.845852407400002</v>
      </c>
    </row>
    <row r="116" spans="2:50" x14ac:dyDescent="0.25">
      <c r="B116" s="2">
        <v>170</v>
      </c>
      <c r="C116" s="2">
        <v>1167540</v>
      </c>
      <c r="D116" s="2" t="s">
        <v>296</v>
      </c>
      <c r="E116" s="2">
        <v>16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f>SUM(parking_data_1030[[#This Row],[Résidenti]:[Autres]])</f>
        <v>16</v>
      </c>
      <c r="R116" s="2">
        <v>0</v>
      </c>
      <c r="S116" s="2">
        <v>0</v>
      </c>
      <c r="T116" s="2" t="s">
        <v>43</v>
      </c>
      <c r="U116" s="2" t="s">
        <v>54</v>
      </c>
      <c r="V116" s="2" t="s">
        <v>45</v>
      </c>
      <c r="W116" s="2">
        <v>1</v>
      </c>
      <c r="X116" s="2">
        <v>1</v>
      </c>
      <c r="Y116" s="2">
        <v>0</v>
      </c>
      <c r="Z116" s="2">
        <v>0</v>
      </c>
      <c r="AA116" s="2">
        <v>0</v>
      </c>
      <c r="AB116" s="2"/>
      <c r="AC116" s="2">
        <v>0</v>
      </c>
      <c r="AD116" s="2"/>
      <c r="AE116" s="2" t="s">
        <v>46</v>
      </c>
      <c r="AF116" s="2">
        <v>0</v>
      </c>
      <c r="AG116" s="2">
        <v>0</v>
      </c>
      <c r="AH116" s="2"/>
      <c r="AI116" s="2" t="s">
        <v>43</v>
      </c>
      <c r="AJ116" s="2">
        <v>0</v>
      </c>
      <c r="AK116" s="2">
        <v>0</v>
      </c>
      <c r="AL116" s="2"/>
      <c r="AM116" s="2">
        <v>0</v>
      </c>
      <c r="AN116" s="2">
        <v>0</v>
      </c>
      <c r="AO116" s="2"/>
      <c r="AP116" s="2"/>
      <c r="AQ116" s="2" t="s">
        <v>48</v>
      </c>
      <c r="AR116" s="2" t="s">
        <v>1077</v>
      </c>
      <c r="AS116" s="2" t="s">
        <v>1087</v>
      </c>
      <c r="AT116" s="2" t="s">
        <v>1088</v>
      </c>
      <c r="AU116" s="2" t="s">
        <v>1182</v>
      </c>
      <c r="AV116" s="2" t="s">
        <v>1090</v>
      </c>
      <c r="AW116" s="2">
        <v>4.4010860937</v>
      </c>
      <c r="AX116" s="2">
        <v>50.845919427600002</v>
      </c>
    </row>
    <row r="117" spans="2:50" x14ac:dyDescent="0.25">
      <c r="B117" s="2">
        <v>171</v>
      </c>
      <c r="C117" s="2">
        <v>1167588</v>
      </c>
      <c r="D117" s="2" t="s">
        <v>297</v>
      </c>
      <c r="E117" s="2">
        <v>23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f>SUM(parking_data_1030[[#This Row],[Résidenti]:[Autres]])</f>
        <v>23</v>
      </c>
      <c r="R117" s="2">
        <v>0</v>
      </c>
      <c r="S117" s="2">
        <v>0</v>
      </c>
      <c r="T117" s="2" t="s">
        <v>43</v>
      </c>
      <c r="U117" s="2" t="s">
        <v>76</v>
      </c>
      <c r="V117" s="2" t="s">
        <v>45</v>
      </c>
      <c r="W117" s="2">
        <v>1</v>
      </c>
      <c r="X117" s="2">
        <v>1</v>
      </c>
      <c r="Y117" s="2">
        <v>0</v>
      </c>
      <c r="Z117" s="2">
        <v>0</v>
      </c>
      <c r="AA117" s="2">
        <v>0</v>
      </c>
      <c r="AB117" s="2"/>
      <c r="AC117" s="2">
        <v>0</v>
      </c>
      <c r="AD117" s="2"/>
      <c r="AE117" s="2" t="s">
        <v>106</v>
      </c>
      <c r="AF117" s="2">
        <v>0</v>
      </c>
      <c r="AG117" s="2">
        <v>0</v>
      </c>
      <c r="AH117" s="2"/>
      <c r="AI117" s="2" t="s">
        <v>43</v>
      </c>
      <c r="AJ117" s="2">
        <v>0</v>
      </c>
      <c r="AK117" s="2">
        <v>0</v>
      </c>
      <c r="AL117" s="2"/>
      <c r="AM117" s="2">
        <v>0</v>
      </c>
      <c r="AN117" s="2">
        <v>0</v>
      </c>
      <c r="AO117" s="2"/>
      <c r="AP117" s="2"/>
      <c r="AQ117" s="2" t="s">
        <v>48</v>
      </c>
      <c r="AR117" s="2" t="s">
        <v>1183</v>
      </c>
      <c r="AS117" s="2" t="s">
        <v>1087</v>
      </c>
      <c r="AT117" s="2" t="s">
        <v>1088</v>
      </c>
      <c r="AU117" s="2" t="s">
        <v>1182</v>
      </c>
      <c r="AV117" s="2" t="s">
        <v>1090</v>
      </c>
      <c r="AW117" s="2">
        <v>4.3989727846999997</v>
      </c>
      <c r="AX117" s="2">
        <v>50.845414914099997</v>
      </c>
    </row>
    <row r="118" spans="2:50" x14ac:dyDescent="0.25">
      <c r="B118" s="2">
        <v>83</v>
      </c>
      <c r="C118" s="2">
        <v>10001645</v>
      </c>
      <c r="D118" s="2" t="s">
        <v>691</v>
      </c>
      <c r="E118" s="2">
        <v>24</v>
      </c>
      <c r="F118" s="2">
        <v>0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f>SUM(parking_data_1030[[#This Row],[Résidenti]:[Autres]])</f>
        <v>24</v>
      </c>
      <c r="R118" s="2">
        <v>0</v>
      </c>
      <c r="S118" s="2">
        <v>0</v>
      </c>
      <c r="T118" s="2" t="s">
        <v>43</v>
      </c>
      <c r="U118" s="2" t="s">
        <v>76</v>
      </c>
      <c r="V118" s="2" t="s">
        <v>45</v>
      </c>
      <c r="W118" s="2">
        <v>1</v>
      </c>
      <c r="X118" s="2">
        <v>1</v>
      </c>
      <c r="Y118" s="2">
        <v>0</v>
      </c>
      <c r="Z118" s="2">
        <v>0</v>
      </c>
      <c r="AA118" s="2">
        <v>0</v>
      </c>
      <c r="AB118" s="2"/>
      <c r="AC118" s="2">
        <v>0</v>
      </c>
      <c r="AD118" s="3">
        <v>49138</v>
      </c>
      <c r="AE118" s="2" t="s">
        <v>106</v>
      </c>
      <c r="AF118" s="2">
        <v>0</v>
      </c>
      <c r="AG118" s="2">
        <v>0</v>
      </c>
      <c r="AH118" s="2"/>
      <c r="AI118" s="2" t="s">
        <v>43</v>
      </c>
      <c r="AJ118" s="2">
        <v>0</v>
      </c>
      <c r="AK118" s="2">
        <v>0</v>
      </c>
      <c r="AL118" s="2"/>
      <c r="AM118" s="2">
        <v>0</v>
      </c>
      <c r="AN118" s="2">
        <v>0</v>
      </c>
      <c r="AO118" s="2"/>
      <c r="AP118" s="2"/>
      <c r="AQ118" s="2" t="s">
        <v>48</v>
      </c>
      <c r="AR118" s="2" t="s">
        <v>1026</v>
      </c>
      <c r="AS118" s="2" t="s">
        <v>1035</v>
      </c>
      <c r="AT118" s="2" t="s">
        <v>1036</v>
      </c>
      <c r="AU118" s="2" t="s">
        <v>1037</v>
      </c>
      <c r="AV118" s="2" t="s">
        <v>1000</v>
      </c>
      <c r="AW118" s="2">
        <v>4.3898429619000003</v>
      </c>
      <c r="AX118" s="2">
        <v>50.865575401000001</v>
      </c>
    </row>
    <row r="119" spans="2:50" x14ac:dyDescent="0.25">
      <c r="B119" s="2">
        <v>84</v>
      </c>
      <c r="C119" s="2">
        <v>2163238</v>
      </c>
      <c r="D119" s="2" t="s">
        <v>692</v>
      </c>
      <c r="E119" s="2">
        <v>34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f>SUM(parking_data_1030[[#This Row],[Résidenti]:[Autres]])</f>
        <v>34</v>
      </c>
      <c r="R119" s="2">
        <v>0</v>
      </c>
      <c r="S119" s="2">
        <v>0</v>
      </c>
      <c r="T119" s="2" t="s">
        <v>43</v>
      </c>
      <c r="U119" s="2" t="s">
        <v>76</v>
      </c>
      <c r="V119" s="2" t="s">
        <v>45</v>
      </c>
      <c r="W119" s="2">
        <v>1</v>
      </c>
      <c r="X119" s="2">
        <v>1</v>
      </c>
      <c r="Y119" s="2">
        <v>0</v>
      </c>
      <c r="Z119" s="2">
        <v>0</v>
      </c>
      <c r="AA119" s="2">
        <v>0</v>
      </c>
      <c r="AB119" s="2"/>
      <c r="AC119" s="2">
        <v>0</v>
      </c>
      <c r="AD119" s="3">
        <v>49267</v>
      </c>
      <c r="AE119" s="2" t="s">
        <v>106</v>
      </c>
      <c r="AF119" s="2">
        <v>0</v>
      </c>
      <c r="AG119" s="2">
        <v>0</v>
      </c>
      <c r="AH119" s="2"/>
      <c r="AI119" s="2" t="s">
        <v>43</v>
      </c>
      <c r="AJ119" s="2">
        <v>0</v>
      </c>
      <c r="AK119" s="2">
        <v>0</v>
      </c>
      <c r="AL119" s="2"/>
      <c r="AM119" s="2">
        <v>0</v>
      </c>
      <c r="AN119" s="2">
        <v>0</v>
      </c>
      <c r="AO119" s="2"/>
      <c r="AP119" s="2"/>
      <c r="AQ119" s="2" t="s">
        <v>48</v>
      </c>
      <c r="AR119" s="2" t="s">
        <v>1038</v>
      </c>
      <c r="AS119" s="2" t="s">
        <v>1035</v>
      </c>
      <c r="AT119" s="2" t="s">
        <v>1036</v>
      </c>
      <c r="AU119" s="2" t="s">
        <v>1037</v>
      </c>
      <c r="AV119" s="2" t="s">
        <v>1000</v>
      </c>
      <c r="AW119" s="2">
        <v>4.3901517485000001</v>
      </c>
      <c r="AX119" s="2">
        <v>50.865243769099997</v>
      </c>
    </row>
    <row r="120" spans="2:50" x14ac:dyDescent="0.25">
      <c r="B120" s="2">
        <v>85</v>
      </c>
      <c r="C120" s="2">
        <v>2163234</v>
      </c>
      <c r="D120" s="2" t="s">
        <v>693</v>
      </c>
      <c r="E120" s="2">
        <v>10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f>SUM(parking_data_1030[[#This Row],[Résidenti]:[Autres]])</f>
        <v>10</v>
      </c>
      <c r="R120" s="2">
        <v>0</v>
      </c>
      <c r="S120" s="2">
        <v>0</v>
      </c>
      <c r="T120" s="2" t="s">
        <v>43</v>
      </c>
      <c r="U120" s="2" t="s">
        <v>76</v>
      </c>
      <c r="V120" s="2" t="s">
        <v>45</v>
      </c>
      <c r="W120" s="2">
        <v>1</v>
      </c>
      <c r="X120" s="2">
        <v>1</v>
      </c>
      <c r="Y120" s="2">
        <v>0</v>
      </c>
      <c r="Z120" s="2">
        <v>0</v>
      </c>
      <c r="AA120" s="2">
        <v>0</v>
      </c>
      <c r="AB120" s="2"/>
      <c r="AC120" s="2">
        <v>0</v>
      </c>
      <c r="AD120" s="3">
        <v>47853</v>
      </c>
      <c r="AE120" s="2" t="s">
        <v>106</v>
      </c>
      <c r="AF120" s="2">
        <v>0</v>
      </c>
      <c r="AG120" s="2">
        <v>0</v>
      </c>
      <c r="AH120" s="2"/>
      <c r="AI120" s="2" t="s">
        <v>43</v>
      </c>
      <c r="AJ120" s="2">
        <v>0</v>
      </c>
      <c r="AK120" s="2">
        <v>0</v>
      </c>
      <c r="AL120" s="2"/>
      <c r="AM120" s="2">
        <v>0</v>
      </c>
      <c r="AN120" s="2">
        <v>0</v>
      </c>
      <c r="AO120" s="2"/>
      <c r="AP120" s="2"/>
      <c r="AQ120" s="2" t="s">
        <v>48</v>
      </c>
      <c r="AR120" s="2" t="s">
        <v>890</v>
      </c>
      <c r="AS120" s="2" t="s">
        <v>1035</v>
      </c>
      <c r="AT120" s="2" t="s">
        <v>1036</v>
      </c>
      <c r="AU120" s="2" t="s">
        <v>1037</v>
      </c>
      <c r="AV120" s="2" t="s">
        <v>1000</v>
      </c>
      <c r="AW120" s="2">
        <v>4.3903750142</v>
      </c>
      <c r="AX120" s="2">
        <v>50.865054822099999</v>
      </c>
    </row>
    <row r="121" spans="2:50" x14ac:dyDescent="0.25">
      <c r="B121" s="2">
        <v>86</v>
      </c>
      <c r="C121" s="2">
        <v>2134008</v>
      </c>
      <c r="D121" s="2" t="s">
        <v>694</v>
      </c>
      <c r="E121" s="2">
        <v>122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f>SUM(parking_data_1030[[#This Row],[Résidenti]:[Autres]])</f>
        <v>122</v>
      </c>
      <c r="R121" s="2">
        <v>0</v>
      </c>
      <c r="S121" s="2">
        <v>0</v>
      </c>
      <c r="T121" s="2" t="s">
        <v>43</v>
      </c>
      <c r="U121" s="2" t="s">
        <v>95</v>
      </c>
      <c r="V121" s="2" t="s">
        <v>45</v>
      </c>
      <c r="W121" s="2">
        <v>1</v>
      </c>
      <c r="X121" s="2">
        <v>1</v>
      </c>
      <c r="Y121" s="2">
        <v>0</v>
      </c>
      <c r="Z121" s="2">
        <v>0</v>
      </c>
      <c r="AA121" s="2">
        <v>0</v>
      </c>
      <c r="AB121" s="2"/>
      <c r="AC121" s="2">
        <v>0</v>
      </c>
      <c r="AD121" s="3">
        <v>47918</v>
      </c>
      <c r="AE121" s="2" t="s">
        <v>106</v>
      </c>
      <c r="AF121" s="2">
        <v>0</v>
      </c>
      <c r="AG121" s="2">
        <v>0</v>
      </c>
      <c r="AH121" s="2" t="s">
        <v>695</v>
      </c>
      <c r="AI121" s="2" t="s">
        <v>43</v>
      </c>
      <c r="AJ121" s="2">
        <v>0</v>
      </c>
      <c r="AK121" s="2">
        <v>0</v>
      </c>
      <c r="AL121" s="2"/>
      <c r="AM121" s="2">
        <v>0</v>
      </c>
      <c r="AN121" s="2">
        <v>0</v>
      </c>
      <c r="AO121" s="2"/>
      <c r="AP121" s="2"/>
      <c r="AQ121" s="2" t="s">
        <v>48</v>
      </c>
      <c r="AR121" s="2" t="s">
        <v>964</v>
      </c>
      <c r="AS121" s="2" t="s">
        <v>1035</v>
      </c>
      <c r="AT121" s="2" t="s">
        <v>1036</v>
      </c>
      <c r="AU121" s="2" t="s">
        <v>1039</v>
      </c>
      <c r="AV121" s="2" t="s">
        <v>1000</v>
      </c>
      <c r="AW121" s="2">
        <v>4.3906508973999996</v>
      </c>
      <c r="AX121" s="2">
        <v>50.865769437200001</v>
      </c>
    </row>
    <row r="122" spans="2:50" x14ac:dyDescent="0.25">
      <c r="B122" s="2">
        <v>87</v>
      </c>
      <c r="C122" s="2">
        <v>2134051</v>
      </c>
      <c r="D122" s="2" t="s">
        <v>696</v>
      </c>
      <c r="E122" s="2">
        <v>185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f>SUM(parking_data_1030[[#This Row],[Résidenti]:[Autres]])</f>
        <v>185</v>
      </c>
      <c r="R122" s="2">
        <v>0</v>
      </c>
      <c r="S122" s="2">
        <v>0</v>
      </c>
      <c r="T122" s="2" t="s">
        <v>43</v>
      </c>
      <c r="U122" s="2" t="s">
        <v>95</v>
      </c>
      <c r="V122" s="2" t="s">
        <v>45</v>
      </c>
      <c r="W122" s="2">
        <v>1</v>
      </c>
      <c r="X122" s="2">
        <v>1</v>
      </c>
      <c r="Y122" s="2">
        <v>0</v>
      </c>
      <c r="Z122" s="2">
        <v>0</v>
      </c>
      <c r="AA122" s="2">
        <v>0</v>
      </c>
      <c r="AB122" s="2"/>
      <c r="AC122" s="2">
        <v>0</v>
      </c>
      <c r="AD122" s="3">
        <v>44548</v>
      </c>
      <c r="AE122" s="2" t="s">
        <v>106</v>
      </c>
      <c r="AF122" s="2">
        <v>0</v>
      </c>
      <c r="AG122" s="2">
        <v>0</v>
      </c>
      <c r="AH122" s="2" t="s">
        <v>697</v>
      </c>
      <c r="AI122" s="2" t="s">
        <v>43</v>
      </c>
      <c r="AJ122" s="2">
        <v>0</v>
      </c>
      <c r="AK122" s="2">
        <v>0</v>
      </c>
      <c r="AL122" s="2"/>
      <c r="AM122" s="2">
        <v>0</v>
      </c>
      <c r="AN122" s="2">
        <v>0</v>
      </c>
      <c r="AO122" s="2"/>
      <c r="AP122" s="2"/>
      <c r="AQ122" s="2" t="s">
        <v>48</v>
      </c>
      <c r="AR122" s="2" t="s">
        <v>1023</v>
      </c>
      <c r="AS122" s="2" t="s">
        <v>1035</v>
      </c>
      <c r="AT122" s="2" t="s">
        <v>1036</v>
      </c>
      <c r="AU122" s="2" t="s">
        <v>1039</v>
      </c>
      <c r="AV122" s="2" t="s">
        <v>1000</v>
      </c>
      <c r="AW122" s="2">
        <v>4.3913602908999998</v>
      </c>
      <c r="AX122" s="2">
        <v>50.865079729999998</v>
      </c>
    </row>
    <row r="123" spans="2:50" x14ac:dyDescent="0.25">
      <c r="B123" s="2">
        <v>382</v>
      </c>
      <c r="C123" s="2">
        <v>2160190</v>
      </c>
      <c r="D123" s="2" t="s">
        <v>371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53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f>SUM(parking_data_1030[[#This Row],[Résidenti]:[Autres]])</f>
        <v>53</v>
      </c>
      <c r="R123" s="2">
        <v>0</v>
      </c>
      <c r="S123" s="2">
        <v>0</v>
      </c>
      <c r="T123" s="2" t="s">
        <v>43</v>
      </c>
      <c r="U123" s="2" t="s">
        <v>76</v>
      </c>
      <c r="V123" s="2" t="s">
        <v>59</v>
      </c>
      <c r="W123" s="2">
        <v>0</v>
      </c>
      <c r="X123" s="2">
        <v>0</v>
      </c>
      <c r="Y123" s="2">
        <v>0</v>
      </c>
      <c r="Z123" s="2">
        <v>1</v>
      </c>
      <c r="AA123" s="2">
        <v>0</v>
      </c>
      <c r="AB123" s="2" t="s">
        <v>60</v>
      </c>
      <c r="AC123" s="2">
        <v>0</v>
      </c>
      <c r="AD123" s="2"/>
      <c r="AE123" s="2" t="s">
        <v>46</v>
      </c>
      <c r="AF123" s="2">
        <v>0</v>
      </c>
      <c r="AG123" s="2">
        <v>0</v>
      </c>
      <c r="AH123" s="2" t="s">
        <v>372</v>
      </c>
      <c r="AI123" s="2" t="s">
        <v>43</v>
      </c>
      <c r="AJ123" s="2">
        <v>0</v>
      </c>
      <c r="AK123" s="2">
        <v>53</v>
      </c>
      <c r="AL123" s="2" t="s">
        <v>373</v>
      </c>
      <c r="AM123" s="2">
        <v>3</v>
      </c>
      <c r="AN123" s="2">
        <v>0</v>
      </c>
      <c r="AO123" s="2" t="s">
        <v>374</v>
      </c>
      <c r="AP123" s="2"/>
      <c r="AQ123" s="2" t="s">
        <v>70</v>
      </c>
      <c r="AR123" s="2" t="s">
        <v>1249</v>
      </c>
      <c r="AS123" s="2" t="s">
        <v>1491</v>
      </c>
      <c r="AT123" s="2" t="s">
        <v>1492</v>
      </c>
      <c r="AU123" s="2" t="s">
        <v>1490</v>
      </c>
      <c r="AV123" s="2" t="s">
        <v>1170</v>
      </c>
      <c r="AW123" s="2">
        <v>4.3676147698000003</v>
      </c>
      <c r="AX123" s="2">
        <v>50.8666299928</v>
      </c>
    </row>
    <row r="124" spans="2:50" x14ac:dyDescent="0.25">
      <c r="B124" s="2">
        <v>384</v>
      </c>
      <c r="C124" s="2">
        <v>2172141</v>
      </c>
      <c r="D124" s="2" t="s">
        <v>376</v>
      </c>
      <c r="E124" s="2">
        <v>0</v>
      </c>
      <c r="F124" s="2">
        <v>0</v>
      </c>
      <c r="G124" s="2">
        <v>0</v>
      </c>
      <c r="H124" s="2">
        <v>23</v>
      </c>
      <c r="I124" s="2">
        <v>17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f>SUM(parking_data_1030[[#This Row],[Résidenti]:[Autres]])</f>
        <v>40</v>
      </c>
      <c r="R124" s="2">
        <v>0</v>
      </c>
      <c r="S124" s="2">
        <v>0</v>
      </c>
      <c r="T124" s="2" t="s">
        <v>43</v>
      </c>
      <c r="U124" s="2" t="s">
        <v>76</v>
      </c>
      <c r="V124" s="2" t="s">
        <v>45</v>
      </c>
      <c r="W124" s="2">
        <v>1</v>
      </c>
      <c r="X124" s="2">
        <v>1</v>
      </c>
      <c r="Y124" s="2">
        <v>1</v>
      </c>
      <c r="Z124" s="2">
        <v>0</v>
      </c>
      <c r="AA124" s="2">
        <v>1</v>
      </c>
      <c r="AB124" s="2"/>
      <c r="AC124" s="2">
        <v>0</v>
      </c>
      <c r="AD124" s="3">
        <v>48707</v>
      </c>
      <c r="AE124" s="2" t="s">
        <v>46</v>
      </c>
      <c r="AF124" s="2">
        <v>0</v>
      </c>
      <c r="AG124" s="2">
        <v>0</v>
      </c>
      <c r="AH124" s="2" t="s">
        <v>377</v>
      </c>
      <c r="AI124" s="2" t="s">
        <v>43</v>
      </c>
      <c r="AJ124" s="2">
        <v>0</v>
      </c>
      <c r="AK124" s="2">
        <v>40</v>
      </c>
      <c r="AL124" s="2"/>
      <c r="AM124" s="2">
        <v>3</v>
      </c>
      <c r="AN124" s="2">
        <v>1</v>
      </c>
      <c r="AO124" s="2" t="s">
        <v>378</v>
      </c>
      <c r="AP124" s="2" t="s">
        <v>379</v>
      </c>
      <c r="AQ124" s="2" t="s">
        <v>70</v>
      </c>
      <c r="AR124" s="2" t="s">
        <v>1164</v>
      </c>
      <c r="AS124" s="2" t="s">
        <v>1491</v>
      </c>
      <c r="AT124" s="2" t="s">
        <v>1492</v>
      </c>
      <c r="AU124" s="2" t="s">
        <v>1496</v>
      </c>
      <c r="AV124" s="2" t="s">
        <v>1170</v>
      </c>
      <c r="AW124" s="2">
        <v>4.3700634638000002</v>
      </c>
      <c r="AX124" s="2">
        <v>50.868462482200002</v>
      </c>
    </row>
    <row r="125" spans="2:50" x14ac:dyDescent="0.25">
      <c r="B125" s="2">
        <v>477</v>
      </c>
      <c r="C125" s="2">
        <v>2160194</v>
      </c>
      <c r="D125" s="2" t="s">
        <v>531</v>
      </c>
      <c r="E125" s="2">
        <v>0</v>
      </c>
      <c r="F125" s="2">
        <v>0</v>
      </c>
      <c r="G125" s="2">
        <v>0</v>
      </c>
      <c r="H125" s="2">
        <v>6</v>
      </c>
      <c r="I125" s="2">
        <v>9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f>SUM(parking_data_1030[[#This Row],[Résidenti]:[Autres]])</f>
        <v>15</v>
      </c>
      <c r="R125" s="2">
        <v>0</v>
      </c>
      <c r="S125" s="2">
        <v>0</v>
      </c>
      <c r="T125" s="2" t="s">
        <v>43</v>
      </c>
      <c r="U125" s="2" t="s">
        <v>95</v>
      </c>
      <c r="V125" s="2" t="s">
        <v>45</v>
      </c>
      <c r="W125" s="2">
        <v>1</v>
      </c>
      <c r="X125" s="2">
        <v>1</v>
      </c>
      <c r="Y125" s="2">
        <v>1</v>
      </c>
      <c r="Z125" s="2">
        <v>0</v>
      </c>
      <c r="AA125" s="2">
        <v>1</v>
      </c>
      <c r="AB125" s="2" t="s">
        <v>532</v>
      </c>
      <c r="AC125" s="2">
        <v>0</v>
      </c>
      <c r="AD125" s="2"/>
      <c r="AE125" s="2" t="s">
        <v>46</v>
      </c>
      <c r="AF125" s="2">
        <v>0</v>
      </c>
      <c r="AG125" s="2">
        <v>0</v>
      </c>
      <c r="AH125" s="2" t="s">
        <v>533</v>
      </c>
      <c r="AI125" s="2" t="s">
        <v>43</v>
      </c>
      <c r="AJ125" s="2">
        <v>0</v>
      </c>
      <c r="AK125" s="2">
        <v>15</v>
      </c>
      <c r="AL125" s="2"/>
      <c r="AM125" s="2">
        <v>0</v>
      </c>
      <c r="AN125" s="2">
        <v>1</v>
      </c>
      <c r="AO125" s="2"/>
      <c r="AP125" s="2" t="s">
        <v>534</v>
      </c>
      <c r="AQ125" s="2" t="s">
        <v>70</v>
      </c>
      <c r="AR125" s="2" t="s">
        <v>845</v>
      </c>
      <c r="AS125" s="2" t="s">
        <v>1491</v>
      </c>
      <c r="AT125" s="2" t="s">
        <v>1492</v>
      </c>
      <c r="AU125" s="2" t="s">
        <v>1490</v>
      </c>
      <c r="AV125" s="2" t="s">
        <v>1170</v>
      </c>
      <c r="AW125" s="2">
        <v>4.3678329972999999</v>
      </c>
      <c r="AX125" s="2">
        <v>50.866233603200001</v>
      </c>
    </row>
    <row r="126" spans="2:50" x14ac:dyDescent="0.25">
      <c r="B126" s="2">
        <v>185</v>
      </c>
      <c r="C126" s="2">
        <v>3001119</v>
      </c>
      <c r="D126" s="2" t="s">
        <v>268</v>
      </c>
      <c r="E126" s="2">
        <v>37</v>
      </c>
      <c r="F126" s="2">
        <v>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f>SUM(parking_data_1030[[#This Row],[Résidenti]:[Autres]])</f>
        <v>37</v>
      </c>
      <c r="R126" s="2">
        <v>0</v>
      </c>
      <c r="S126" s="2">
        <v>0</v>
      </c>
      <c r="T126" s="2" t="s">
        <v>43</v>
      </c>
      <c r="U126" s="2" t="s">
        <v>54</v>
      </c>
      <c r="V126" s="2" t="s">
        <v>45</v>
      </c>
      <c r="W126" s="2">
        <v>1</v>
      </c>
      <c r="X126" s="2">
        <v>1</v>
      </c>
      <c r="Y126" s="2">
        <v>0</v>
      </c>
      <c r="Z126" s="2">
        <v>0</v>
      </c>
      <c r="AA126" s="2">
        <v>0</v>
      </c>
      <c r="AB126" s="2"/>
      <c r="AC126" s="2">
        <v>0</v>
      </c>
      <c r="AD126" s="2"/>
      <c r="AE126" s="2" t="s">
        <v>46</v>
      </c>
      <c r="AF126" s="2">
        <v>0</v>
      </c>
      <c r="AG126" s="2">
        <v>0</v>
      </c>
      <c r="AH126" s="2"/>
      <c r="AI126" s="2" t="s">
        <v>43</v>
      </c>
      <c r="AJ126" s="2">
        <v>0</v>
      </c>
      <c r="AK126" s="2">
        <v>0</v>
      </c>
      <c r="AL126" s="2"/>
      <c r="AM126" s="2">
        <v>0</v>
      </c>
      <c r="AN126" s="2">
        <v>0</v>
      </c>
      <c r="AO126" s="2"/>
      <c r="AP126" s="2"/>
      <c r="AQ126" s="2" t="s">
        <v>48</v>
      </c>
      <c r="AR126" s="2" t="s">
        <v>1207</v>
      </c>
      <c r="AS126" s="2" t="s">
        <v>1208</v>
      </c>
      <c r="AT126" s="2" t="s">
        <v>1209</v>
      </c>
      <c r="AU126" s="2" t="s">
        <v>1201</v>
      </c>
      <c r="AV126" s="2" t="s">
        <v>1090</v>
      </c>
      <c r="AW126" s="2">
        <v>4.4014888880000003</v>
      </c>
      <c r="AX126" s="2">
        <v>50.847233294799999</v>
      </c>
    </row>
    <row r="127" spans="2:50" x14ac:dyDescent="0.25">
      <c r="B127" s="2">
        <v>97</v>
      </c>
      <c r="C127" s="2">
        <v>2134200</v>
      </c>
      <c r="D127" s="2" t="s">
        <v>753</v>
      </c>
      <c r="E127" s="2">
        <v>26</v>
      </c>
      <c r="F127" s="2">
        <v>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f>SUM(parking_data_1030[[#This Row],[Résidenti]:[Autres]])</f>
        <v>26</v>
      </c>
      <c r="R127" s="2">
        <v>0</v>
      </c>
      <c r="S127" s="2">
        <v>0</v>
      </c>
      <c r="T127" s="2" t="s">
        <v>43</v>
      </c>
      <c r="U127" s="2" t="s">
        <v>115</v>
      </c>
      <c r="V127" s="2" t="s">
        <v>45</v>
      </c>
      <c r="W127" s="2">
        <v>1</v>
      </c>
      <c r="X127" s="2">
        <v>1</v>
      </c>
      <c r="Y127" s="2">
        <v>0</v>
      </c>
      <c r="Z127" s="2">
        <v>0</v>
      </c>
      <c r="AA127" s="2">
        <v>0</v>
      </c>
      <c r="AB127" s="2"/>
      <c r="AC127" s="2">
        <v>0</v>
      </c>
      <c r="AD127" s="2"/>
      <c r="AE127" s="2" t="s">
        <v>46</v>
      </c>
      <c r="AF127" s="2">
        <v>0</v>
      </c>
      <c r="AG127" s="2">
        <v>0</v>
      </c>
      <c r="AH127" s="2"/>
      <c r="AI127" s="2" t="s">
        <v>43</v>
      </c>
      <c r="AJ127" s="2">
        <v>0</v>
      </c>
      <c r="AK127" s="2">
        <v>0</v>
      </c>
      <c r="AL127" s="2"/>
      <c r="AM127" s="2">
        <v>0</v>
      </c>
      <c r="AN127" s="2">
        <v>0</v>
      </c>
      <c r="AO127" s="2"/>
      <c r="AP127" s="2"/>
      <c r="AQ127" s="2" t="s">
        <v>48</v>
      </c>
      <c r="AR127" s="2" t="s">
        <v>1026</v>
      </c>
      <c r="AS127" s="2" t="s">
        <v>1059</v>
      </c>
      <c r="AT127" s="2" t="s">
        <v>1060</v>
      </c>
      <c r="AU127" s="2" t="s">
        <v>1057</v>
      </c>
      <c r="AV127" s="2" t="s">
        <v>1058</v>
      </c>
      <c r="AW127" s="2">
        <v>4.3935445952999999</v>
      </c>
      <c r="AX127" s="2">
        <v>50.860882416000003</v>
      </c>
    </row>
    <row r="128" spans="2:50" x14ac:dyDescent="0.25">
      <c r="B128" s="2">
        <v>98</v>
      </c>
      <c r="C128" s="2">
        <v>2134203</v>
      </c>
      <c r="D128" s="2" t="s">
        <v>754</v>
      </c>
      <c r="E128" s="2">
        <v>26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f>SUM(parking_data_1030[[#This Row],[Résidenti]:[Autres]])</f>
        <v>26</v>
      </c>
      <c r="R128" s="2">
        <v>0</v>
      </c>
      <c r="S128" s="2">
        <v>0</v>
      </c>
      <c r="T128" s="2" t="s">
        <v>43</v>
      </c>
      <c r="U128" s="2" t="s">
        <v>54</v>
      </c>
      <c r="V128" s="2" t="s">
        <v>45</v>
      </c>
      <c r="W128" s="2">
        <v>1</v>
      </c>
      <c r="X128" s="2">
        <v>1</v>
      </c>
      <c r="Y128" s="2">
        <v>1</v>
      </c>
      <c r="Z128" s="2">
        <v>0</v>
      </c>
      <c r="AA128" s="2">
        <v>1</v>
      </c>
      <c r="AB128" s="2"/>
      <c r="AC128" s="2">
        <v>0</v>
      </c>
      <c r="AD128" s="2"/>
      <c r="AE128" s="2" t="s">
        <v>46</v>
      </c>
      <c r="AF128" s="2">
        <v>0</v>
      </c>
      <c r="AG128" s="2">
        <v>0</v>
      </c>
      <c r="AH128" s="2"/>
      <c r="AI128" s="2" t="s">
        <v>43</v>
      </c>
      <c r="AJ128" s="2">
        <v>0</v>
      </c>
      <c r="AK128" s="2">
        <v>0</v>
      </c>
      <c r="AL128" s="2"/>
      <c r="AM128" s="2">
        <v>0</v>
      </c>
      <c r="AN128" s="2">
        <v>0</v>
      </c>
      <c r="AO128" s="2"/>
      <c r="AP128" s="2"/>
      <c r="AQ128" s="2" t="s">
        <v>48</v>
      </c>
      <c r="AR128" s="2" t="s">
        <v>1038</v>
      </c>
      <c r="AS128" s="2" t="s">
        <v>1059</v>
      </c>
      <c r="AT128" s="2" t="s">
        <v>1060</v>
      </c>
      <c r="AU128" s="2" t="s">
        <v>1057</v>
      </c>
      <c r="AV128" s="2" t="s">
        <v>1058</v>
      </c>
      <c r="AW128" s="2">
        <v>4.3941716712999996</v>
      </c>
      <c r="AX128" s="2">
        <v>50.860631285499998</v>
      </c>
    </row>
    <row r="129" spans="2:50" x14ac:dyDescent="0.25">
      <c r="B129" s="2">
        <v>99</v>
      </c>
      <c r="C129" s="2">
        <v>2134188</v>
      </c>
      <c r="D129" s="2" t="s">
        <v>755</v>
      </c>
      <c r="E129" s="2">
        <v>10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f>SUM(parking_data_1030[[#This Row],[Résidenti]:[Autres]])</f>
        <v>10</v>
      </c>
      <c r="R129" s="2">
        <v>0</v>
      </c>
      <c r="S129" s="2">
        <v>0</v>
      </c>
      <c r="T129" s="2" t="s">
        <v>43</v>
      </c>
      <c r="U129" s="2" t="s">
        <v>54</v>
      </c>
      <c r="V129" s="2" t="s">
        <v>45</v>
      </c>
      <c r="W129" s="2">
        <v>1</v>
      </c>
      <c r="X129" s="2">
        <v>1</v>
      </c>
      <c r="Y129" s="2">
        <v>0</v>
      </c>
      <c r="Z129" s="2">
        <v>0</v>
      </c>
      <c r="AA129" s="2">
        <v>0</v>
      </c>
      <c r="AB129" s="2"/>
      <c r="AC129" s="2">
        <v>0</v>
      </c>
      <c r="AD129" s="2"/>
      <c r="AE129" s="2" t="s">
        <v>46</v>
      </c>
      <c r="AF129" s="2">
        <v>0</v>
      </c>
      <c r="AG129" s="2">
        <v>0</v>
      </c>
      <c r="AH129" s="2"/>
      <c r="AI129" s="2" t="s">
        <v>43</v>
      </c>
      <c r="AJ129" s="2">
        <v>0</v>
      </c>
      <c r="AK129" s="2">
        <v>0</v>
      </c>
      <c r="AL129" s="2"/>
      <c r="AM129" s="2">
        <v>0</v>
      </c>
      <c r="AN129" s="2">
        <v>0</v>
      </c>
      <c r="AO129" s="2"/>
      <c r="AP129" s="2"/>
      <c r="AQ129" s="2" t="s">
        <v>48</v>
      </c>
      <c r="AR129" s="2" t="s">
        <v>890</v>
      </c>
      <c r="AS129" s="2" t="s">
        <v>1059</v>
      </c>
      <c r="AT129" s="2" t="s">
        <v>1060</v>
      </c>
      <c r="AU129" s="2" t="s">
        <v>1061</v>
      </c>
      <c r="AV129" s="2" t="s">
        <v>1058</v>
      </c>
      <c r="AW129" s="2">
        <v>4.3954694817000002</v>
      </c>
      <c r="AX129" s="2">
        <v>50.859866782700003</v>
      </c>
    </row>
    <row r="130" spans="2:50" x14ac:dyDescent="0.25">
      <c r="B130" s="2">
        <v>100</v>
      </c>
      <c r="C130" s="2">
        <v>2134192</v>
      </c>
      <c r="D130" s="2" t="s">
        <v>756</v>
      </c>
      <c r="E130" s="2">
        <v>24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f>SUM(parking_data_1030[[#This Row],[Résidenti]:[Autres]])</f>
        <v>24</v>
      </c>
      <c r="R130" s="2">
        <v>0</v>
      </c>
      <c r="S130" s="2">
        <v>0</v>
      </c>
      <c r="T130" s="2" t="s">
        <v>43</v>
      </c>
      <c r="U130" s="2" t="s">
        <v>54</v>
      </c>
      <c r="V130" s="2" t="s">
        <v>45</v>
      </c>
      <c r="W130" s="2">
        <v>1</v>
      </c>
      <c r="X130" s="2">
        <v>1</v>
      </c>
      <c r="Y130" s="2">
        <v>0</v>
      </c>
      <c r="Z130" s="2">
        <v>0</v>
      </c>
      <c r="AA130" s="2">
        <v>0</v>
      </c>
      <c r="AB130" s="2"/>
      <c r="AC130" s="2">
        <v>0</v>
      </c>
      <c r="AD130" s="2"/>
      <c r="AE130" s="2" t="s">
        <v>46</v>
      </c>
      <c r="AF130" s="2">
        <v>0</v>
      </c>
      <c r="AG130" s="2">
        <v>0</v>
      </c>
      <c r="AH130" s="2" t="s">
        <v>757</v>
      </c>
      <c r="AI130" s="2" t="s">
        <v>43</v>
      </c>
      <c r="AJ130" s="2">
        <v>0</v>
      </c>
      <c r="AK130" s="2">
        <v>0</v>
      </c>
      <c r="AL130" s="2"/>
      <c r="AM130" s="2">
        <v>0</v>
      </c>
      <c r="AN130" s="2">
        <v>0</v>
      </c>
      <c r="AO130" s="2"/>
      <c r="AP130" s="2"/>
      <c r="AQ130" s="2" t="s">
        <v>48</v>
      </c>
      <c r="AR130" s="2" t="s">
        <v>919</v>
      </c>
      <c r="AS130" s="2" t="s">
        <v>1059</v>
      </c>
      <c r="AT130" s="2" t="s">
        <v>1060</v>
      </c>
      <c r="AU130" s="2" t="s">
        <v>1061</v>
      </c>
      <c r="AV130" s="2" t="s">
        <v>1058</v>
      </c>
      <c r="AW130" s="2">
        <v>4.3962498365</v>
      </c>
      <c r="AX130" s="2">
        <v>50.859439910200003</v>
      </c>
    </row>
    <row r="131" spans="2:50" x14ac:dyDescent="0.25">
      <c r="B131" s="2">
        <v>101</v>
      </c>
      <c r="C131" s="2">
        <v>2134181</v>
      </c>
      <c r="D131" s="2" t="s">
        <v>758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16</v>
      </c>
      <c r="M131" s="2">
        <v>0</v>
      </c>
      <c r="N131" s="2">
        <v>0</v>
      </c>
      <c r="O131" s="2">
        <v>0</v>
      </c>
      <c r="P131" s="2">
        <v>0</v>
      </c>
      <c r="Q131" s="2">
        <f>SUM(parking_data_1030[[#This Row],[Résidenti]:[Autres]])</f>
        <v>16</v>
      </c>
      <c r="R131" s="2">
        <v>0</v>
      </c>
      <c r="S131" s="2">
        <v>0</v>
      </c>
      <c r="T131" s="2" t="s">
        <v>43</v>
      </c>
      <c r="U131" s="2" t="s">
        <v>64</v>
      </c>
      <c r="V131" s="2" t="s">
        <v>59</v>
      </c>
      <c r="W131" s="2">
        <v>1</v>
      </c>
      <c r="X131" s="2">
        <v>1</v>
      </c>
      <c r="Y131" s="2">
        <v>0</v>
      </c>
      <c r="Z131" s="2">
        <v>0</v>
      </c>
      <c r="AA131" s="2">
        <v>0</v>
      </c>
      <c r="AB131" s="2"/>
      <c r="AC131" s="2">
        <v>0</v>
      </c>
      <c r="AD131" s="2"/>
      <c r="AE131" s="2" t="s">
        <v>46</v>
      </c>
      <c r="AF131" s="2">
        <v>0</v>
      </c>
      <c r="AG131" s="2">
        <v>0</v>
      </c>
      <c r="AH131" s="2"/>
      <c r="AI131" s="2" t="s">
        <v>43</v>
      </c>
      <c r="AJ131" s="2">
        <v>0</v>
      </c>
      <c r="AK131" s="2">
        <v>16</v>
      </c>
      <c r="AL131" s="2"/>
      <c r="AM131" s="2">
        <v>0</v>
      </c>
      <c r="AN131" s="2">
        <v>0</v>
      </c>
      <c r="AO131" s="2"/>
      <c r="AP131" s="2"/>
      <c r="AQ131" s="2" t="s">
        <v>48</v>
      </c>
      <c r="AR131" s="2" t="s">
        <v>964</v>
      </c>
      <c r="AS131" s="2" t="s">
        <v>1059</v>
      </c>
      <c r="AT131" s="2" t="s">
        <v>1060</v>
      </c>
      <c r="AU131" s="2" t="s">
        <v>1062</v>
      </c>
      <c r="AV131" s="2" t="s">
        <v>1063</v>
      </c>
      <c r="AW131" s="2">
        <v>4.3938219902000002</v>
      </c>
      <c r="AX131" s="2">
        <v>50.859867596000001</v>
      </c>
    </row>
    <row r="132" spans="2:50" x14ac:dyDescent="0.25">
      <c r="B132" s="2">
        <v>102</v>
      </c>
      <c r="C132" s="2">
        <v>2159372</v>
      </c>
      <c r="D132" s="2" t="s">
        <v>759</v>
      </c>
      <c r="E132" s="2">
        <v>0</v>
      </c>
      <c r="F132" s="2">
        <v>0</v>
      </c>
      <c r="G132" s="2">
        <v>0</v>
      </c>
      <c r="H132" s="2">
        <v>12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f>SUM(parking_data_1030[[#This Row],[Résidenti]:[Autres]])</f>
        <v>12</v>
      </c>
      <c r="R132" s="2">
        <v>0</v>
      </c>
      <c r="S132" s="2">
        <v>0</v>
      </c>
      <c r="T132" s="2" t="s">
        <v>43</v>
      </c>
      <c r="U132" s="2" t="s">
        <v>115</v>
      </c>
      <c r="V132" s="2" t="s">
        <v>45</v>
      </c>
      <c r="W132" s="2">
        <v>0</v>
      </c>
      <c r="X132" s="2">
        <v>1</v>
      </c>
      <c r="Y132" s="2">
        <v>1</v>
      </c>
      <c r="Z132" s="2">
        <v>0</v>
      </c>
      <c r="AA132" s="2">
        <v>0</v>
      </c>
      <c r="AB132" s="2"/>
      <c r="AC132" s="2">
        <v>0</v>
      </c>
      <c r="AD132" s="2"/>
      <c r="AE132" s="2" t="s">
        <v>46</v>
      </c>
      <c r="AF132" s="2">
        <v>400</v>
      </c>
      <c r="AG132" s="2">
        <v>4</v>
      </c>
      <c r="AH132" s="2" t="s">
        <v>760</v>
      </c>
      <c r="AI132" s="2" t="s">
        <v>43</v>
      </c>
      <c r="AJ132" s="2">
        <v>-8</v>
      </c>
      <c r="AK132" s="2">
        <v>12</v>
      </c>
      <c r="AL132" s="2"/>
      <c r="AM132" s="2">
        <v>0</v>
      </c>
      <c r="AN132" s="2">
        <v>0</v>
      </c>
      <c r="AO132" s="2"/>
      <c r="AP132" s="2"/>
      <c r="AQ132" s="2" t="s">
        <v>48</v>
      </c>
      <c r="AR132" s="2" t="s">
        <v>952</v>
      </c>
      <c r="AS132" s="2" t="s">
        <v>1059</v>
      </c>
      <c r="AT132" s="2" t="s">
        <v>1060</v>
      </c>
      <c r="AU132" s="2" t="s">
        <v>1184</v>
      </c>
      <c r="AV132" s="2" t="s">
        <v>1063</v>
      </c>
      <c r="AW132" s="2">
        <v>4.3958929375000002</v>
      </c>
      <c r="AX132" s="2">
        <v>50.858277501899998</v>
      </c>
    </row>
    <row r="133" spans="2:50" x14ac:dyDescent="0.25">
      <c r="B133" s="2">
        <v>107</v>
      </c>
      <c r="C133" s="2"/>
      <c r="D133" s="2" t="s">
        <v>743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31</v>
      </c>
      <c r="M133" s="2">
        <v>0</v>
      </c>
      <c r="N133" s="2">
        <v>0</v>
      </c>
      <c r="O133" s="2">
        <v>0</v>
      </c>
      <c r="P133" s="2">
        <v>0</v>
      </c>
      <c r="Q133" s="2">
        <f>SUM(parking_data_1030[[#This Row],[Résidenti]:[Autres]])</f>
        <v>31</v>
      </c>
      <c r="R133" s="2">
        <v>0</v>
      </c>
      <c r="S133" s="2">
        <v>0</v>
      </c>
      <c r="T133" s="2" t="s">
        <v>43</v>
      </c>
      <c r="U133" s="2" t="s">
        <v>64</v>
      </c>
      <c r="V133" s="2" t="s">
        <v>45</v>
      </c>
      <c r="W133" s="2">
        <v>1</v>
      </c>
      <c r="X133" s="2">
        <v>0</v>
      </c>
      <c r="Y133" s="2">
        <v>0</v>
      </c>
      <c r="Z133" s="2">
        <v>0</v>
      </c>
      <c r="AA133" s="2">
        <v>0</v>
      </c>
      <c r="AB133" s="2"/>
      <c r="AC133" s="2">
        <v>0</v>
      </c>
      <c r="AD133" s="2"/>
      <c r="AE133" s="2" t="s">
        <v>46</v>
      </c>
      <c r="AF133" s="2">
        <v>0</v>
      </c>
      <c r="AG133" s="2">
        <v>0</v>
      </c>
      <c r="AH133" s="2" t="s">
        <v>744</v>
      </c>
      <c r="AI133" s="2" t="s">
        <v>43</v>
      </c>
      <c r="AJ133" s="2">
        <v>0</v>
      </c>
      <c r="AK133" s="2">
        <v>31</v>
      </c>
      <c r="AL133" s="2"/>
      <c r="AM133" s="2">
        <v>0</v>
      </c>
      <c r="AN133" s="2">
        <v>0</v>
      </c>
      <c r="AO133" s="2"/>
      <c r="AP133" s="2"/>
      <c r="AQ133" s="2" t="s">
        <v>48</v>
      </c>
      <c r="AR133" s="2"/>
      <c r="AS133" s="2" t="s">
        <v>1059</v>
      </c>
      <c r="AT133" s="2" t="s">
        <v>1060</v>
      </c>
      <c r="AU133" s="2" t="s">
        <v>1061</v>
      </c>
      <c r="AV133" s="2" t="s">
        <v>1058</v>
      </c>
      <c r="AW133" s="2">
        <v>4.3965466511000004</v>
      </c>
      <c r="AX133" s="2">
        <v>50.860159571499999</v>
      </c>
    </row>
    <row r="134" spans="2:50" x14ac:dyDescent="0.25">
      <c r="B134" s="2">
        <v>111</v>
      </c>
      <c r="C134" s="2">
        <v>2134585</v>
      </c>
      <c r="D134" s="2" t="s">
        <v>750</v>
      </c>
      <c r="E134" s="2">
        <v>0</v>
      </c>
      <c r="F134" s="2">
        <v>0</v>
      </c>
      <c r="G134" s="2">
        <v>0</v>
      </c>
      <c r="H134" s="2">
        <v>10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f>SUM(parking_data_1030[[#This Row],[Résidenti]:[Autres]])</f>
        <v>10</v>
      </c>
      <c r="R134" s="2">
        <v>0</v>
      </c>
      <c r="S134" s="2">
        <v>0</v>
      </c>
      <c r="T134" s="2" t="s">
        <v>43</v>
      </c>
      <c r="U134" s="2" t="s">
        <v>64</v>
      </c>
      <c r="V134" s="2" t="s">
        <v>45</v>
      </c>
      <c r="W134" s="2">
        <v>1</v>
      </c>
      <c r="X134" s="2">
        <v>1</v>
      </c>
      <c r="Y134" s="2">
        <v>1</v>
      </c>
      <c r="Z134" s="2">
        <v>0</v>
      </c>
      <c r="AA134" s="2">
        <v>1</v>
      </c>
      <c r="AB134" s="2"/>
      <c r="AC134" s="2">
        <v>0</v>
      </c>
      <c r="AD134" s="3">
        <v>47915</v>
      </c>
      <c r="AE134" s="2" t="s">
        <v>106</v>
      </c>
      <c r="AF134" s="2">
        <v>2044</v>
      </c>
      <c r="AG134" s="2">
        <v>35</v>
      </c>
      <c r="AH134" s="2" t="s">
        <v>751</v>
      </c>
      <c r="AI134" s="2" t="s">
        <v>43</v>
      </c>
      <c r="AJ134" s="2">
        <v>25</v>
      </c>
      <c r="AK134" s="2">
        <v>10</v>
      </c>
      <c r="AL134" s="2"/>
      <c r="AM134" s="2">
        <v>0</v>
      </c>
      <c r="AN134" s="2">
        <v>0</v>
      </c>
      <c r="AO134" s="2"/>
      <c r="AP134" s="2"/>
      <c r="AQ134" s="2" t="s">
        <v>48</v>
      </c>
      <c r="AR134" s="2" t="s">
        <v>1581</v>
      </c>
      <c r="AS134" s="2" t="s">
        <v>1059</v>
      </c>
      <c r="AT134" s="2" t="s">
        <v>1060</v>
      </c>
      <c r="AU134" s="2" t="s">
        <v>1061</v>
      </c>
      <c r="AV134" s="2" t="s">
        <v>1058</v>
      </c>
      <c r="AW134" s="2">
        <v>4.3987640839999997</v>
      </c>
      <c r="AX134" s="2">
        <v>50.861413976400002</v>
      </c>
    </row>
    <row r="135" spans="2:50" x14ac:dyDescent="0.25">
      <c r="B135" s="2">
        <v>112</v>
      </c>
      <c r="C135" s="2">
        <v>2134518</v>
      </c>
      <c r="D135" s="2" t="s">
        <v>726</v>
      </c>
      <c r="E135" s="2">
        <v>0</v>
      </c>
      <c r="F135" s="2">
        <v>0</v>
      </c>
      <c r="G135" s="2">
        <v>0</v>
      </c>
      <c r="H135" s="2">
        <v>30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f>SUM(parking_data_1030[[#This Row],[Résidenti]:[Autres]])</f>
        <v>30</v>
      </c>
      <c r="R135" s="2">
        <v>0</v>
      </c>
      <c r="S135" s="2">
        <v>0</v>
      </c>
      <c r="T135" s="2" t="s">
        <v>43</v>
      </c>
      <c r="U135" s="2" t="s">
        <v>64</v>
      </c>
      <c r="V135" s="2" t="s">
        <v>45</v>
      </c>
      <c r="W135" s="2">
        <v>1</v>
      </c>
      <c r="X135" s="2">
        <v>0</v>
      </c>
      <c r="Y135" s="2">
        <v>1</v>
      </c>
      <c r="Z135" s="2">
        <v>0</v>
      </c>
      <c r="AA135" s="2">
        <v>0</v>
      </c>
      <c r="AB135" s="2"/>
      <c r="AC135" s="2">
        <v>0</v>
      </c>
      <c r="AD135" s="3">
        <v>47614</v>
      </c>
      <c r="AE135" s="2" t="s">
        <v>106</v>
      </c>
      <c r="AF135" s="2">
        <v>1800</v>
      </c>
      <c r="AG135" s="2">
        <v>30</v>
      </c>
      <c r="AH135" s="2"/>
      <c r="AI135" s="2" t="s">
        <v>43</v>
      </c>
      <c r="AJ135" s="2">
        <v>0</v>
      </c>
      <c r="AK135" s="2">
        <v>30</v>
      </c>
      <c r="AL135" s="2"/>
      <c r="AM135" s="2">
        <v>0</v>
      </c>
      <c r="AN135" s="2">
        <v>0</v>
      </c>
      <c r="AO135" s="2"/>
      <c r="AP135" s="2"/>
      <c r="AQ135" s="2" t="s">
        <v>48</v>
      </c>
      <c r="AR135" s="2" t="s">
        <v>1271</v>
      </c>
      <c r="AS135" s="2" t="s">
        <v>1059</v>
      </c>
      <c r="AT135" s="2" t="s">
        <v>1060</v>
      </c>
      <c r="AU135" s="2" t="s">
        <v>1086</v>
      </c>
      <c r="AV135" s="2" t="s">
        <v>1058</v>
      </c>
      <c r="AW135" s="2">
        <v>4.3977598226000003</v>
      </c>
      <c r="AX135" s="2">
        <v>50.8620597703</v>
      </c>
    </row>
    <row r="136" spans="2:50" x14ac:dyDescent="0.25">
      <c r="B136" s="2">
        <v>113</v>
      </c>
      <c r="C136" s="2">
        <v>10005105</v>
      </c>
      <c r="D136" s="2" t="s">
        <v>727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31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f>SUM(parking_data_1030[[#This Row],[Résidenti]:[Autres]])</f>
        <v>31</v>
      </c>
      <c r="R136" s="2">
        <v>0</v>
      </c>
      <c r="S136" s="2">
        <v>0</v>
      </c>
      <c r="T136" s="2" t="s">
        <v>43</v>
      </c>
      <c r="U136" s="2" t="s">
        <v>64</v>
      </c>
      <c r="V136" s="2" t="s">
        <v>45</v>
      </c>
      <c r="W136" s="2">
        <v>1</v>
      </c>
      <c r="X136" s="2">
        <v>0</v>
      </c>
      <c r="Y136" s="2">
        <v>0</v>
      </c>
      <c r="Z136" s="2">
        <v>0</v>
      </c>
      <c r="AA136" s="2">
        <v>0</v>
      </c>
      <c r="AB136" s="2"/>
      <c r="AC136" s="2">
        <v>0</v>
      </c>
      <c r="AD136" s="2"/>
      <c r="AE136" s="2" t="s">
        <v>106</v>
      </c>
      <c r="AF136" s="2">
        <v>0</v>
      </c>
      <c r="AG136" s="2">
        <v>0</v>
      </c>
      <c r="AH136" s="2"/>
      <c r="AI136" s="2" t="s">
        <v>43</v>
      </c>
      <c r="AJ136" s="2">
        <v>0</v>
      </c>
      <c r="AK136" s="2">
        <v>31</v>
      </c>
      <c r="AL136" s="2"/>
      <c r="AM136" s="2">
        <v>0</v>
      </c>
      <c r="AN136" s="2">
        <v>0</v>
      </c>
      <c r="AO136" s="2"/>
      <c r="AP136" s="2"/>
      <c r="AQ136" s="2" t="s">
        <v>48</v>
      </c>
      <c r="AR136" s="2" t="s">
        <v>1085</v>
      </c>
      <c r="AS136" s="2" t="s">
        <v>1059</v>
      </c>
      <c r="AT136" s="2" t="s">
        <v>1060</v>
      </c>
      <c r="AU136" s="2" t="s">
        <v>1086</v>
      </c>
      <c r="AV136" s="2" t="s">
        <v>1058</v>
      </c>
      <c r="AW136" s="2">
        <v>4.3992966753999996</v>
      </c>
      <c r="AX136" s="2">
        <v>50.862972632499996</v>
      </c>
    </row>
    <row r="137" spans="2:50" x14ac:dyDescent="0.25">
      <c r="B137" s="2">
        <v>114</v>
      </c>
      <c r="C137" s="2">
        <v>10002684</v>
      </c>
      <c r="D137" s="2" t="s">
        <v>728</v>
      </c>
      <c r="E137" s="2">
        <v>0</v>
      </c>
      <c r="F137" s="2">
        <v>0</v>
      </c>
      <c r="G137" s="2">
        <v>0</v>
      </c>
      <c r="H137" s="2">
        <v>13</v>
      </c>
      <c r="I137" s="2">
        <v>137</v>
      </c>
      <c r="J137" s="2">
        <v>34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f>SUM(parking_data_1030[[#This Row],[Résidenti]:[Autres]])</f>
        <v>184</v>
      </c>
      <c r="R137" s="2">
        <v>0</v>
      </c>
      <c r="S137" s="2">
        <v>0</v>
      </c>
      <c r="T137" s="2" t="s">
        <v>43</v>
      </c>
      <c r="U137" s="2" t="s">
        <v>58</v>
      </c>
      <c r="V137" s="2" t="s">
        <v>45</v>
      </c>
      <c r="W137" s="2">
        <v>1</v>
      </c>
      <c r="X137" s="2">
        <v>0</v>
      </c>
      <c r="Y137" s="2">
        <v>1</v>
      </c>
      <c r="Z137" s="2">
        <v>0</v>
      </c>
      <c r="AA137" s="2">
        <v>1</v>
      </c>
      <c r="AB137" s="2" t="s">
        <v>729</v>
      </c>
      <c r="AC137" s="2">
        <v>0</v>
      </c>
      <c r="AD137" s="3">
        <v>47259</v>
      </c>
      <c r="AE137" s="2" t="s">
        <v>106</v>
      </c>
      <c r="AF137" s="2">
        <v>9204</v>
      </c>
      <c r="AG137" s="2">
        <v>154</v>
      </c>
      <c r="AH137" s="2" t="s">
        <v>730</v>
      </c>
      <c r="AI137" s="2" t="s">
        <v>43</v>
      </c>
      <c r="AJ137" s="2">
        <v>141</v>
      </c>
      <c r="AK137" s="2">
        <v>184</v>
      </c>
      <c r="AL137" s="2"/>
      <c r="AM137" s="2">
        <v>0</v>
      </c>
      <c r="AN137" s="2">
        <v>0</v>
      </c>
      <c r="AO137" s="2"/>
      <c r="AP137" s="2"/>
      <c r="AQ137" s="2" t="s">
        <v>48</v>
      </c>
      <c r="AR137" s="2" t="s">
        <v>1592</v>
      </c>
      <c r="AS137" s="2" t="s">
        <v>1059</v>
      </c>
      <c r="AT137" s="2" t="s">
        <v>1060</v>
      </c>
      <c r="AU137" s="2" t="s">
        <v>1086</v>
      </c>
      <c r="AV137" s="2" t="s">
        <v>1058</v>
      </c>
      <c r="AW137" s="2">
        <v>4.3995303786999997</v>
      </c>
      <c r="AX137" s="2">
        <v>50.863895958500002</v>
      </c>
    </row>
    <row r="138" spans="2:50" x14ac:dyDescent="0.25">
      <c r="B138" s="2">
        <v>115</v>
      </c>
      <c r="C138" s="2">
        <v>10003617</v>
      </c>
      <c r="D138" s="2" t="s">
        <v>731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19</v>
      </c>
      <c r="N138" s="2">
        <v>0</v>
      </c>
      <c r="O138" s="2">
        <v>0</v>
      </c>
      <c r="P138" s="2">
        <v>0</v>
      </c>
      <c r="Q138" s="2">
        <f>SUM(parking_data_1030[[#This Row],[Résidenti]:[Autres]])</f>
        <v>19</v>
      </c>
      <c r="R138" s="2">
        <v>0</v>
      </c>
      <c r="S138" s="2">
        <v>0</v>
      </c>
      <c r="T138" s="2" t="s">
        <v>43</v>
      </c>
      <c r="U138" s="2" t="s">
        <v>64</v>
      </c>
      <c r="V138" s="2" t="s">
        <v>45</v>
      </c>
      <c r="W138" s="2">
        <v>1</v>
      </c>
      <c r="X138" s="2">
        <v>0</v>
      </c>
      <c r="Y138" s="2">
        <v>0</v>
      </c>
      <c r="Z138" s="2">
        <v>0</v>
      </c>
      <c r="AA138" s="2">
        <v>0</v>
      </c>
      <c r="AB138" s="2"/>
      <c r="AC138" s="2">
        <v>0</v>
      </c>
      <c r="AD138" s="2"/>
      <c r="AE138" s="2" t="s">
        <v>106</v>
      </c>
      <c r="AF138" s="2">
        <v>0</v>
      </c>
      <c r="AG138" s="2">
        <v>0</v>
      </c>
      <c r="AH138" s="2" t="s">
        <v>732</v>
      </c>
      <c r="AI138" s="2" t="s">
        <v>43</v>
      </c>
      <c r="AJ138" s="2">
        <v>0</v>
      </c>
      <c r="AK138" s="2">
        <v>19</v>
      </c>
      <c r="AL138" s="2"/>
      <c r="AM138" s="2">
        <v>0</v>
      </c>
      <c r="AN138" s="2">
        <v>0</v>
      </c>
      <c r="AO138" s="2"/>
      <c r="AP138" s="2"/>
      <c r="AQ138" s="2" t="s">
        <v>48</v>
      </c>
      <c r="AR138" s="2" t="s">
        <v>1091</v>
      </c>
      <c r="AS138" s="2" t="s">
        <v>1059</v>
      </c>
      <c r="AT138" s="2" t="s">
        <v>1060</v>
      </c>
      <c r="AU138" s="2" t="s">
        <v>1061</v>
      </c>
      <c r="AV138" s="2" t="s">
        <v>1058</v>
      </c>
      <c r="AW138" s="2">
        <v>4.3999580385000003</v>
      </c>
      <c r="AX138" s="2">
        <v>50.862499091399997</v>
      </c>
    </row>
    <row r="139" spans="2:50" x14ac:dyDescent="0.25">
      <c r="B139" s="2">
        <v>116</v>
      </c>
      <c r="C139" s="2">
        <v>10003618</v>
      </c>
      <c r="D139" s="2" t="s">
        <v>733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18</v>
      </c>
      <c r="N139" s="2">
        <v>0</v>
      </c>
      <c r="O139" s="2">
        <v>0</v>
      </c>
      <c r="P139" s="2">
        <v>0</v>
      </c>
      <c r="Q139" s="2">
        <f>SUM(parking_data_1030[[#This Row],[Résidenti]:[Autres]])</f>
        <v>18</v>
      </c>
      <c r="R139" s="2">
        <v>0</v>
      </c>
      <c r="S139" s="2">
        <v>0</v>
      </c>
      <c r="T139" s="2" t="s">
        <v>43</v>
      </c>
      <c r="U139" s="2" t="s">
        <v>64</v>
      </c>
      <c r="V139" s="2" t="s">
        <v>45</v>
      </c>
      <c r="W139" s="2">
        <v>0</v>
      </c>
      <c r="X139" s="2">
        <v>0</v>
      </c>
      <c r="Y139" s="2">
        <v>0</v>
      </c>
      <c r="Z139" s="2">
        <v>1</v>
      </c>
      <c r="AA139" s="2">
        <v>0</v>
      </c>
      <c r="AB139" s="2"/>
      <c r="AC139" s="2">
        <v>0</v>
      </c>
      <c r="AD139" s="2"/>
      <c r="AE139" s="2" t="s">
        <v>106</v>
      </c>
      <c r="AF139" s="2">
        <v>0</v>
      </c>
      <c r="AG139" s="2">
        <v>0</v>
      </c>
      <c r="AH139" s="2" t="s">
        <v>734</v>
      </c>
      <c r="AI139" s="2" t="s">
        <v>43</v>
      </c>
      <c r="AJ139" s="2">
        <v>0</v>
      </c>
      <c r="AK139" s="2">
        <v>18</v>
      </c>
      <c r="AL139" s="2"/>
      <c r="AM139" s="2">
        <v>0</v>
      </c>
      <c r="AN139" s="2">
        <v>0</v>
      </c>
      <c r="AO139" s="2"/>
      <c r="AP139" s="2"/>
      <c r="AQ139" s="2" t="s">
        <v>48</v>
      </c>
      <c r="AR139" s="2" t="s">
        <v>1092</v>
      </c>
      <c r="AS139" s="2" t="s">
        <v>1059</v>
      </c>
      <c r="AT139" s="2" t="s">
        <v>1060</v>
      </c>
      <c r="AU139" s="2" t="s">
        <v>1061</v>
      </c>
      <c r="AV139" s="2" t="s">
        <v>1058</v>
      </c>
      <c r="AW139" s="2">
        <v>4.4001337510000003</v>
      </c>
      <c r="AX139" s="2">
        <v>50.863053869300003</v>
      </c>
    </row>
    <row r="140" spans="2:50" x14ac:dyDescent="0.25">
      <c r="B140" s="2">
        <v>125</v>
      </c>
      <c r="C140" s="2">
        <v>2134427</v>
      </c>
      <c r="D140" s="2" t="s">
        <v>722</v>
      </c>
      <c r="E140" s="2">
        <v>17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f>SUM(parking_data_1030[[#This Row],[Résidenti]:[Autres]])</f>
        <v>17</v>
      </c>
      <c r="R140" s="2">
        <v>0</v>
      </c>
      <c r="S140" s="2">
        <v>0</v>
      </c>
      <c r="T140" s="2" t="s">
        <v>43</v>
      </c>
      <c r="U140" s="2" t="s">
        <v>76</v>
      </c>
      <c r="V140" s="2" t="s">
        <v>45</v>
      </c>
      <c r="W140" s="2">
        <v>1</v>
      </c>
      <c r="X140" s="2">
        <v>1</v>
      </c>
      <c r="Y140" s="2">
        <v>0</v>
      </c>
      <c r="Z140" s="2">
        <v>0</v>
      </c>
      <c r="AA140" s="2">
        <v>0</v>
      </c>
      <c r="AB140" s="2"/>
      <c r="AC140" s="2">
        <v>0</v>
      </c>
      <c r="AD140" s="2"/>
      <c r="AE140" s="2" t="s">
        <v>46</v>
      </c>
      <c r="AF140" s="2">
        <v>0</v>
      </c>
      <c r="AG140" s="2">
        <v>0</v>
      </c>
      <c r="AH140" s="2"/>
      <c r="AI140" s="2" t="s">
        <v>43</v>
      </c>
      <c r="AJ140" s="2">
        <v>0</v>
      </c>
      <c r="AK140" s="2">
        <v>0</v>
      </c>
      <c r="AL140" s="2"/>
      <c r="AM140" s="2">
        <v>0</v>
      </c>
      <c r="AN140" s="2">
        <v>0</v>
      </c>
      <c r="AO140" s="2"/>
      <c r="AP140" s="2"/>
      <c r="AQ140" s="2" t="s">
        <v>48</v>
      </c>
      <c r="AR140" s="2" t="s">
        <v>1106</v>
      </c>
      <c r="AS140" s="2" t="s">
        <v>1059</v>
      </c>
      <c r="AT140" s="2" t="s">
        <v>1060</v>
      </c>
      <c r="AU140" s="2" t="s">
        <v>1107</v>
      </c>
      <c r="AV140" s="2" t="s">
        <v>1058</v>
      </c>
      <c r="AW140" s="2">
        <v>4.3982776213000001</v>
      </c>
      <c r="AX140" s="2">
        <v>50.856879057599997</v>
      </c>
    </row>
    <row r="141" spans="2:50" x14ac:dyDescent="0.25">
      <c r="B141" s="2">
        <v>126</v>
      </c>
      <c r="C141" s="2">
        <v>2163903</v>
      </c>
      <c r="D141" s="2" t="s">
        <v>723</v>
      </c>
      <c r="E141" s="2">
        <v>14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f>SUM(parking_data_1030[[#This Row],[Résidenti]:[Autres]])</f>
        <v>14</v>
      </c>
      <c r="R141" s="2">
        <v>0</v>
      </c>
      <c r="S141" s="2">
        <v>0</v>
      </c>
      <c r="T141" s="2" t="s">
        <v>43</v>
      </c>
      <c r="U141" s="2" t="s">
        <v>54</v>
      </c>
      <c r="V141" s="2" t="s">
        <v>45</v>
      </c>
      <c r="W141" s="2">
        <v>0</v>
      </c>
      <c r="X141" s="2">
        <v>1</v>
      </c>
      <c r="Y141" s="2">
        <v>0</v>
      </c>
      <c r="Z141" s="2">
        <v>1</v>
      </c>
      <c r="AA141" s="2">
        <v>0</v>
      </c>
      <c r="AB141" s="2"/>
      <c r="AC141" s="2">
        <v>0</v>
      </c>
      <c r="AD141" s="2"/>
      <c r="AE141" s="2" t="s">
        <v>46</v>
      </c>
      <c r="AF141" s="2">
        <v>0</v>
      </c>
      <c r="AG141" s="2">
        <v>0</v>
      </c>
      <c r="AH141" s="2" t="s">
        <v>724</v>
      </c>
      <c r="AI141" s="2" t="s">
        <v>43</v>
      </c>
      <c r="AJ141" s="2">
        <v>0</v>
      </c>
      <c r="AK141" s="2">
        <v>0</v>
      </c>
      <c r="AL141" s="2"/>
      <c r="AM141" s="2">
        <v>0</v>
      </c>
      <c r="AN141" s="2">
        <v>0</v>
      </c>
      <c r="AO141" s="2"/>
      <c r="AP141" s="2"/>
      <c r="AQ141" s="2" t="s">
        <v>48</v>
      </c>
      <c r="AR141" s="2" t="s">
        <v>1108</v>
      </c>
      <c r="AS141" s="2" t="s">
        <v>1059</v>
      </c>
      <c r="AT141" s="2" t="s">
        <v>1060</v>
      </c>
      <c r="AU141" s="2" t="s">
        <v>1107</v>
      </c>
      <c r="AV141" s="2" t="s">
        <v>1058</v>
      </c>
      <c r="AW141" s="2">
        <v>4.3989600929000003</v>
      </c>
      <c r="AX141" s="2">
        <v>50.855823828399998</v>
      </c>
    </row>
    <row r="142" spans="2:50" x14ac:dyDescent="0.25">
      <c r="B142" s="2">
        <v>475</v>
      </c>
      <c r="C142" s="2">
        <v>2134591</v>
      </c>
      <c r="D142" s="2" t="s">
        <v>528</v>
      </c>
      <c r="E142" s="2">
        <v>0</v>
      </c>
      <c r="F142" s="2">
        <v>0</v>
      </c>
      <c r="G142" s="2">
        <v>0</v>
      </c>
      <c r="H142" s="2">
        <v>13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f>SUM(parking_data_1030[[#This Row],[Résidenti]:[Autres]])</f>
        <v>13</v>
      </c>
      <c r="R142" s="2">
        <v>0</v>
      </c>
      <c r="S142" s="2">
        <v>0</v>
      </c>
      <c r="T142" s="2" t="s">
        <v>43</v>
      </c>
      <c r="U142" s="2" t="s">
        <v>64</v>
      </c>
      <c r="V142" s="2" t="s">
        <v>45</v>
      </c>
      <c r="W142" s="2">
        <v>0</v>
      </c>
      <c r="X142" s="2">
        <v>0</v>
      </c>
      <c r="Y142" s="2">
        <v>1</v>
      </c>
      <c r="Z142" s="2">
        <v>0</v>
      </c>
      <c r="AA142" s="2">
        <v>1</v>
      </c>
      <c r="AB142" s="2"/>
      <c r="AC142" s="2">
        <v>0</v>
      </c>
      <c r="AD142" s="2"/>
      <c r="AE142" s="2" t="s">
        <v>106</v>
      </c>
      <c r="AF142" s="2">
        <v>225</v>
      </c>
      <c r="AG142" s="2">
        <v>4</v>
      </c>
      <c r="AH142" s="2"/>
      <c r="AI142" s="2" t="s">
        <v>43</v>
      </c>
      <c r="AJ142" s="2">
        <v>-9</v>
      </c>
      <c r="AK142" s="2">
        <v>13</v>
      </c>
      <c r="AL142" s="2"/>
      <c r="AM142" s="2">
        <v>0</v>
      </c>
      <c r="AN142" s="2">
        <v>0</v>
      </c>
      <c r="AO142" s="2"/>
      <c r="AP142" s="2"/>
      <c r="AQ142" s="2" t="s">
        <v>48</v>
      </c>
      <c r="AR142" s="2" t="s">
        <v>1181</v>
      </c>
      <c r="AS142" s="2" t="s">
        <v>1059</v>
      </c>
      <c r="AT142" s="2" t="s">
        <v>1060</v>
      </c>
      <c r="AU142" s="2" t="s">
        <v>1061</v>
      </c>
      <c r="AV142" s="2" t="s">
        <v>1058</v>
      </c>
      <c r="AW142" s="2">
        <v>4.3992111084000003</v>
      </c>
      <c r="AX142" s="2">
        <v>50.8618180956</v>
      </c>
    </row>
    <row r="143" spans="2:50" x14ac:dyDescent="0.25">
      <c r="B143" s="2">
        <v>118</v>
      </c>
      <c r="C143" s="2">
        <v>2134525</v>
      </c>
      <c r="D143" s="2" t="s">
        <v>736</v>
      </c>
      <c r="E143" s="2">
        <v>85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f>SUM(parking_data_1030[[#This Row],[Résidenti]:[Autres]])</f>
        <v>85</v>
      </c>
      <c r="R143" s="2">
        <v>0</v>
      </c>
      <c r="S143" s="2">
        <v>0</v>
      </c>
      <c r="T143" s="2" t="s">
        <v>43</v>
      </c>
      <c r="U143" s="2" t="s">
        <v>76</v>
      </c>
      <c r="V143" s="2" t="s">
        <v>45</v>
      </c>
      <c r="W143" s="2">
        <v>1</v>
      </c>
      <c r="X143" s="2">
        <v>1</v>
      </c>
      <c r="Y143" s="2">
        <v>0</v>
      </c>
      <c r="Z143" s="2">
        <v>0</v>
      </c>
      <c r="AA143" s="2">
        <v>0</v>
      </c>
      <c r="AB143" s="2" t="s">
        <v>737</v>
      </c>
      <c r="AC143" s="2">
        <v>50</v>
      </c>
      <c r="AD143" s="2"/>
      <c r="AE143" s="2" t="s">
        <v>106</v>
      </c>
      <c r="AF143" s="2">
        <v>0</v>
      </c>
      <c r="AG143" s="2">
        <v>0</v>
      </c>
      <c r="AH143" s="2" t="s">
        <v>738</v>
      </c>
      <c r="AI143" s="2" t="s">
        <v>43</v>
      </c>
      <c r="AJ143" s="2">
        <v>0</v>
      </c>
      <c r="AK143" s="2">
        <v>0</v>
      </c>
      <c r="AL143" s="2"/>
      <c r="AM143" s="2">
        <v>0</v>
      </c>
      <c r="AN143" s="2">
        <v>0</v>
      </c>
      <c r="AO143" s="2"/>
      <c r="AP143" s="2"/>
      <c r="AQ143" s="2" t="s">
        <v>48</v>
      </c>
      <c r="AR143" s="2" t="s">
        <v>1095</v>
      </c>
      <c r="AS143" s="2" t="s">
        <v>1096</v>
      </c>
      <c r="AT143" s="2" t="s">
        <v>1097</v>
      </c>
      <c r="AU143" s="2" t="s">
        <v>1094</v>
      </c>
      <c r="AV143" s="2" t="s">
        <v>1058</v>
      </c>
      <c r="AW143" s="2">
        <v>4.4032225353000003</v>
      </c>
      <c r="AX143" s="2">
        <v>50.860560671599998</v>
      </c>
    </row>
    <row r="144" spans="2:50" x14ac:dyDescent="0.25">
      <c r="B144" s="2">
        <v>129</v>
      </c>
      <c r="C144" s="2">
        <v>153721926</v>
      </c>
      <c r="D144" s="2" t="s">
        <v>257</v>
      </c>
      <c r="E144" s="2">
        <v>14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f>SUM(parking_data_1030[[#This Row],[Résidenti]:[Autres]])</f>
        <v>14</v>
      </c>
      <c r="R144" s="2">
        <v>0</v>
      </c>
      <c r="S144" s="2">
        <v>0</v>
      </c>
      <c r="T144" s="2" t="s">
        <v>43</v>
      </c>
      <c r="U144" s="2" t="s">
        <v>64</v>
      </c>
      <c r="V144" s="2" t="s">
        <v>45</v>
      </c>
      <c r="W144" s="2">
        <v>1</v>
      </c>
      <c r="X144" s="2">
        <v>0</v>
      </c>
      <c r="Y144" s="2">
        <v>0</v>
      </c>
      <c r="Z144" s="2">
        <v>0</v>
      </c>
      <c r="AA144" s="2">
        <v>0</v>
      </c>
      <c r="AB144" s="2" t="s">
        <v>258</v>
      </c>
      <c r="AC144" s="2">
        <v>0</v>
      </c>
      <c r="AD144" s="2"/>
      <c r="AE144" s="2" t="s">
        <v>106</v>
      </c>
      <c r="AF144" s="2">
        <v>0</v>
      </c>
      <c r="AG144" s="2">
        <v>0</v>
      </c>
      <c r="AH144" s="2" t="s">
        <v>259</v>
      </c>
      <c r="AI144" s="2" t="s">
        <v>43</v>
      </c>
      <c r="AJ144" s="2">
        <v>0</v>
      </c>
      <c r="AK144" s="2">
        <v>0</v>
      </c>
      <c r="AL144" s="2"/>
      <c r="AM144" s="2">
        <v>0</v>
      </c>
      <c r="AN144" s="2">
        <v>0</v>
      </c>
      <c r="AO144" s="2"/>
      <c r="AP144" s="2"/>
      <c r="AQ144" s="2" t="s">
        <v>48</v>
      </c>
      <c r="AR144" s="2" t="s">
        <v>1112</v>
      </c>
      <c r="AS144" s="2" t="s">
        <v>1096</v>
      </c>
      <c r="AT144" s="2" t="s">
        <v>1097</v>
      </c>
      <c r="AU144" s="2" t="s">
        <v>1098</v>
      </c>
      <c r="AV144" s="2" t="s">
        <v>1058</v>
      </c>
      <c r="AW144" s="2">
        <v>4.4067530172999998</v>
      </c>
      <c r="AX144" s="2">
        <v>50.8575291521</v>
      </c>
    </row>
    <row r="145" spans="2:50" x14ac:dyDescent="0.25">
      <c r="B145" s="2">
        <v>11</v>
      </c>
      <c r="C145" s="2">
        <v>2176515</v>
      </c>
      <c r="D145" s="2" t="s">
        <v>57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126</v>
      </c>
      <c r="N145" s="2">
        <v>0</v>
      </c>
      <c r="O145" s="2">
        <v>0</v>
      </c>
      <c r="P145" s="2">
        <v>0</v>
      </c>
      <c r="Q145" s="2">
        <f>SUM(parking_data_1030[[#This Row],[Résidenti]:[Autres]])</f>
        <v>126</v>
      </c>
      <c r="R145" s="2">
        <v>0</v>
      </c>
      <c r="S145" s="2">
        <v>0</v>
      </c>
      <c r="T145" s="2" t="s">
        <v>43</v>
      </c>
      <c r="U145" s="2" t="s">
        <v>58</v>
      </c>
      <c r="V145" s="2" t="s">
        <v>59</v>
      </c>
      <c r="W145" s="2">
        <v>1</v>
      </c>
      <c r="X145" s="2">
        <v>0</v>
      </c>
      <c r="Y145" s="2">
        <v>0</v>
      </c>
      <c r="Z145" s="2">
        <v>0</v>
      </c>
      <c r="AA145" s="2">
        <v>0</v>
      </c>
      <c r="AB145" s="2" t="s">
        <v>60</v>
      </c>
      <c r="AC145" s="2">
        <v>0</v>
      </c>
      <c r="AD145" s="3">
        <v>49693</v>
      </c>
      <c r="AE145" s="2" t="s">
        <v>52</v>
      </c>
      <c r="AF145" s="2">
        <v>0</v>
      </c>
      <c r="AG145" s="2">
        <v>0</v>
      </c>
      <c r="AH145" s="2" t="s">
        <v>61</v>
      </c>
      <c r="AI145" s="2" t="s">
        <v>43</v>
      </c>
      <c r="AJ145" s="2">
        <v>0</v>
      </c>
      <c r="AK145" s="2">
        <v>126</v>
      </c>
      <c r="AL145" s="2" t="s">
        <v>62</v>
      </c>
      <c r="AM145" s="2">
        <v>0</v>
      </c>
      <c r="AN145" s="2">
        <v>0</v>
      </c>
      <c r="AO145" s="2"/>
      <c r="AP145" s="2"/>
      <c r="AQ145" s="2" t="s">
        <v>48</v>
      </c>
      <c r="AR145" s="2" t="s">
        <v>841</v>
      </c>
      <c r="AS145" s="2" t="s">
        <v>861</v>
      </c>
      <c r="AT145" s="2" t="s">
        <v>862</v>
      </c>
      <c r="AU145" s="2" t="s">
        <v>863</v>
      </c>
      <c r="AV145" s="2" t="s">
        <v>835</v>
      </c>
      <c r="AW145" s="2">
        <v>4.3823299973000003</v>
      </c>
      <c r="AX145" s="2">
        <v>50.878678203200003</v>
      </c>
    </row>
    <row r="146" spans="2:50" x14ac:dyDescent="0.25">
      <c r="B146" s="2">
        <v>12</v>
      </c>
      <c r="C146" s="2">
        <v>2132321</v>
      </c>
      <c r="D146" s="2" t="s">
        <v>63</v>
      </c>
      <c r="E146" s="2">
        <v>0</v>
      </c>
      <c r="F146" s="2">
        <v>0</v>
      </c>
      <c r="G146" s="2">
        <v>0</v>
      </c>
      <c r="H146" s="2">
        <v>0</v>
      </c>
      <c r="I146" s="2">
        <v>10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f>SUM(parking_data_1030[[#This Row],[Résidenti]:[Autres]])</f>
        <v>10</v>
      </c>
      <c r="R146" s="2">
        <v>0</v>
      </c>
      <c r="S146" s="2">
        <v>0</v>
      </c>
      <c r="T146" s="2" t="s">
        <v>43</v>
      </c>
      <c r="U146" s="2" t="s">
        <v>64</v>
      </c>
      <c r="V146" s="2" t="s">
        <v>45</v>
      </c>
      <c r="W146" s="2">
        <v>0</v>
      </c>
      <c r="X146" s="2">
        <v>1</v>
      </c>
      <c r="Y146" s="2">
        <v>0</v>
      </c>
      <c r="Z146" s="2">
        <v>0</v>
      </c>
      <c r="AA146" s="2">
        <v>0</v>
      </c>
      <c r="AB146" s="2"/>
      <c r="AC146" s="2">
        <v>0</v>
      </c>
      <c r="AD146" s="2"/>
      <c r="AE146" s="2" t="s">
        <v>52</v>
      </c>
      <c r="AF146" s="2">
        <v>0</v>
      </c>
      <c r="AG146" s="2">
        <v>0</v>
      </c>
      <c r="AH146" s="2" t="s">
        <v>65</v>
      </c>
      <c r="AI146" s="2" t="s">
        <v>43</v>
      </c>
      <c r="AJ146" s="2">
        <v>0</v>
      </c>
      <c r="AK146" s="2">
        <v>10</v>
      </c>
      <c r="AL146" s="2"/>
      <c r="AM146" s="2">
        <v>0</v>
      </c>
      <c r="AN146" s="2">
        <v>0</v>
      </c>
      <c r="AO146" s="2"/>
      <c r="AP146" s="2"/>
      <c r="AQ146" s="2" t="s">
        <v>48</v>
      </c>
      <c r="AR146" s="2" t="s">
        <v>857</v>
      </c>
      <c r="AS146" s="2" t="s">
        <v>861</v>
      </c>
      <c r="AT146" s="2" t="s">
        <v>862</v>
      </c>
      <c r="AU146" s="2" t="s">
        <v>864</v>
      </c>
      <c r="AV146" s="2" t="s">
        <v>835</v>
      </c>
      <c r="AW146" s="2">
        <v>4.3828621768999998</v>
      </c>
      <c r="AX146" s="2">
        <v>50.879380061799999</v>
      </c>
    </row>
    <row r="147" spans="2:50" x14ac:dyDescent="0.25">
      <c r="B147" s="2">
        <v>14</v>
      </c>
      <c r="C147" s="2">
        <v>2132761</v>
      </c>
      <c r="D147" s="2" t="s">
        <v>71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15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f>SUM(parking_data_1030[[#This Row],[Résidenti]:[Autres]])</f>
        <v>15</v>
      </c>
      <c r="R147" s="2">
        <v>0</v>
      </c>
      <c r="S147" s="2">
        <v>0</v>
      </c>
      <c r="T147" s="2" t="s">
        <v>43</v>
      </c>
      <c r="U147" s="2" t="s">
        <v>64</v>
      </c>
      <c r="V147" s="2" t="s">
        <v>45</v>
      </c>
      <c r="W147" s="2">
        <v>0</v>
      </c>
      <c r="X147" s="2">
        <v>1</v>
      </c>
      <c r="Y147" s="2">
        <v>1</v>
      </c>
      <c r="Z147" s="2">
        <v>0</v>
      </c>
      <c r="AA147" s="2">
        <v>1</v>
      </c>
      <c r="AB147" s="2"/>
      <c r="AC147" s="2">
        <v>0</v>
      </c>
      <c r="AD147" s="2"/>
      <c r="AE147" s="2" t="s">
        <v>52</v>
      </c>
      <c r="AF147" s="2">
        <v>0</v>
      </c>
      <c r="AG147" s="2">
        <v>0</v>
      </c>
      <c r="AH147" s="2" t="s">
        <v>72</v>
      </c>
      <c r="AI147" s="2" t="s">
        <v>43</v>
      </c>
      <c r="AJ147" s="2">
        <v>0</v>
      </c>
      <c r="AK147" s="2">
        <v>15</v>
      </c>
      <c r="AL147" s="2"/>
      <c r="AM147" s="2">
        <v>0</v>
      </c>
      <c r="AN147" s="2">
        <v>0</v>
      </c>
      <c r="AO147" s="2"/>
      <c r="AP147" s="2"/>
      <c r="AQ147" s="2" t="s">
        <v>48</v>
      </c>
      <c r="AR147" s="2" t="s">
        <v>870</v>
      </c>
      <c r="AS147" s="2" t="s">
        <v>861</v>
      </c>
      <c r="AT147" s="2" t="s">
        <v>862</v>
      </c>
      <c r="AU147" s="2" t="s">
        <v>871</v>
      </c>
      <c r="AV147" s="2" t="s">
        <v>835</v>
      </c>
      <c r="AW147" s="2">
        <v>4.3843541758000004</v>
      </c>
      <c r="AX147" s="2">
        <v>50.879469758799999</v>
      </c>
    </row>
    <row r="148" spans="2:50" x14ac:dyDescent="0.25">
      <c r="B148" s="2">
        <v>323</v>
      </c>
      <c r="C148" s="2">
        <v>2153002</v>
      </c>
      <c r="D148" s="2" t="s">
        <v>358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15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f>SUM(parking_data_1030[[#This Row],[Résidenti]:[Autres]])</f>
        <v>15</v>
      </c>
      <c r="R148" s="2">
        <v>0</v>
      </c>
      <c r="S148" s="2">
        <v>0</v>
      </c>
      <c r="T148" s="2" t="s">
        <v>43</v>
      </c>
      <c r="U148" s="2" t="s">
        <v>44</v>
      </c>
      <c r="V148" s="2" t="s">
        <v>45</v>
      </c>
      <c r="W148" s="2">
        <v>1</v>
      </c>
      <c r="X148" s="2">
        <v>0</v>
      </c>
      <c r="Y148" s="2">
        <v>0</v>
      </c>
      <c r="Z148" s="2">
        <v>0</v>
      </c>
      <c r="AA148" s="2">
        <v>0</v>
      </c>
      <c r="AB148" s="2"/>
      <c r="AC148" s="2">
        <v>0</v>
      </c>
      <c r="AD148" s="2"/>
      <c r="AE148" s="2" t="s">
        <v>46</v>
      </c>
      <c r="AF148" s="2">
        <v>0</v>
      </c>
      <c r="AG148" s="2">
        <v>0</v>
      </c>
      <c r="AH148" s="2" t="s">
        <v>359</v>
      </c>
      <c r="AI148" s="2" t="s">
        <v>43</v>
      </c>
      <c r="AJ148" s="2">
        <v>0</v>
      </c>
      <c r="AK148" s="2">
        <v>15</v>
      </c>
      <c r="AL148" s="2"/>
      <c r="AM148" s="2">
        <v>0</v>
      </c>
      <c r="AN148" s="2">
        <v>0</v>
      </c>
      <c r="AO148" s="2"/>
      <c r="AP148" s="2"/>
      <c r="AQ148" s="2" t="s">
        <v>48</v>
      </c>
      <c r="AR148" s="2" t="s">
        <v>905</v>
      </c>
      <c r="AS148" s="2" t="s">
        <v>1410</v>
      </c>
      <c r="AT148" s="2" t="s">
        <v>1411</v>
      </c>
      <c r="AU148" s="2" t="s">
        <v>1412</v>
      </c>
      <c r="AV148" s="2" t="s">
        <v>1137</v>
      </c>
      <c r="AW148" s="2">
        <v>4.3832189926999998</v>
      </c>
      <c r="AX148" s="2">
        <v>50.858840149999999</v>
      </c>
    </row>
    <row r="149" spans="2:50" x14ac:dyDescent="0.25">
      <c r="B149" s="2">
        <v>391</v>
      </c>
      <c r="C149" s="2">
        <v>2169935</v>
      </c>
      <c r="D149" s="2" t="s">
        <v>618</v>
      </c>
      <c r="E149" s="2">
        <v>10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f>SUM(parking_data_1030[[#This Row],[Résidenti]:[Autres]])</f>
        <v>10</v>
      </c>
      <c r="R149" s="2">
        <v>0</v>
      </c>
      <c r="S149" s="2">
        <v>0</v>
      </c>
      <c r="T149" s="2" t="s">
        <v>43</v>
      </c>
      <c r="U149" s="2" t="s">
        <v>76</v>
      </c>
      <c r="V149" s="2" t="s">
        <v>45</v>
      </c>
      <c r="W149" s="2">
        <v>1</v>
      </c>
      <c r="X149" s="2">
        <v>0</v>
      </c>
      <c r="Y149" s="2">
        <v>0</v>
      </c>
      <c r="Z149" s="2">
        <v>0</v>
      </c>
      <c r="AA149" s="2">
        <v>0</v>
      </c>
      <c r="AB149" s="2"/>
      <c r="AC149" s="2">
        <v>0</v>
      </c>
      <c r="AD149" s="2"/>
      <c r="AE149" s="2" t="s">
        <v>46</v>
      </c>
      <c r="AF149" s="2">
        <v>0</v>
      </c>
      <c r="AG149" s="2">
        <v>0</v>
      </c>
      <c r="AH149" s="2"/>
      <c r="AI149" s="2" t="s">
        <v>43</v>
      </c>
      <c r="AJ149" s="2">
        <v>0</v>
      </c>
      <c r="AK149" s="2">
        <v>0</v>
      </c>
      <c r="AL149" s="2"/>
      <c r="AM149" s="2">
        <v>0</v>
      </c>
      <c r="AN149" s="2">
        <v>0</v>
      </c>
      <c r="AO149" s="2"/>
      <c r="AP149" s="2"/>
      <c r="AQ149" s="2" t="s">
        <v>48</v>
      </c>
      <c r="AR149" s="2" t="s">
        <v>952</v>
      </c>
      <c r="AS149" s="2" t="s">
        <v>1505</v>
      </c>
      <c r="AT149" s="2" t="s">
        <v>1506</v>
      </c>
      <c r="AU149" s="2" t="s">
        <v>1507</v>
      </c>
      <c r="AV149" s="2" t="s">
        <v>1170</v>
      </c>
      <c r="AW149" s="2">
        <v>4.3757222125000004</v>
      </c>
      <c r="AX149" s="2">
        <v>50.8673456645</v>
      </c>
    </row>
    <row r="150" spans="2:50" x14ac:dyDescent="0.25">
      <c r="B150" s="2">
        <v>371</v>
      </c>
      <c r="C150" s="2">
        <v>2147317</v>
      </c>
      <c r="D150" s="2" t="s">
        <v>385</v>
      </c>
      <c r="E150" s="2">
        <v>0</v>
      </c>
      <c r="F150" s="2">
        <v>0</v>
      </c>
      <c r="G150" s="2">
        <v>0</v>
      </c>
      <c r="H150" s="2">
        <v>0</v>
      </c>
      <c r="I150" s="2">
        <v>20</v>
      </c>
      <c r="J150" s="2">
        <v>80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f>SUM(parking_data_1030[[#This Row],[Résidenti]:[Autres]])</f>
        <v>100</v>
      </c>
      <c r="R150" s="2">
        <v>0</v>
      </c>
      <c r="S150" s="2">
        <v>0</v>
      </c>
      <c r="T150" s="2" t="s">
        <v>43</v>
      </c>
      <c r="U150" s="2" t="s">
        <v>44</v>
      </c>
      <c r="V150" s="2" t="s">
        <v>45</v>
      </c>
      <c r="W150" s="2">
        <v>1</v>
      </c>
      <c r="X150" s="2">
        <v>1</v>
      </c>
      <c r="Y150" s="2">
        <v>0</v>
      </c>
      <c r="Z150" s="2">
        <v>0</v>
      </c>
      <c r="AA150" s="2">
        <v>0</v>
      </c>
      <c r="AB150" s="2"/>
      <c r="AC150" s="2">
        <v>0</v>
      </c>
      <c r="AD150" s="3">
        <v>44641</v>
      </c>
      <c r="AE150" s="2" t="s">
        <v>52</v>
      </c>
      <c r="AF150" s="2">
        <v>0</v>
      </c>
      <c r="AG150" s="2">
        <v>0</v>
      </c>
      <c r="AH150" s="2" t="s">
        <v>386</v>
      </c>
      <c r="AI150" s="2" t="s">
        <v>43</v>
      </c>
      <c r="AJ150" s="2">
        <v>0</v>
      </c>
      <c r="AK150" s="2">
        <v>100</v>
      </c>
      <c r="AL150" s="2" t="s">
        <v>387</v>
      </c>
      <c r="AM150" s="2">
        <v>1</v>
      </c>
      <c r="AN150" s="2">
        <v>0</v>
      </c>
      <c r="AO150" s="2" t="s">
        <v>388</v>
      </c>
      <c r="AP150" s="2"/>
      <c r="AQ150" s="2" t="s">
        <v>70</v>
      </c>
      <c r="AR150" s="2" t="s">
        <v>1449</v>
      </c>
      <c r="AS150" s="2" t="s">
        <v>994</v>
      </c>
      <c r="AT150" s="2" t="s">
        <v>995</v>
      </c>
      <c r="AU150" s="2" t="s">
        <v>1470</v>
      </c>
      <c r="AV150" s="2" t="s">
        <v>897</v>
      </c>
      <c r="AW150" s="2">
        <v>4.3653004616000004</v>
      </c>
      <c r="AX150" s="2">
        <v>50.8596665333</v>
      </c>
    </row>
    <row r="151" spans="2:50" x14ac:dyDescent="0.25">
      <c r="B151" s="2">
        <v>378</v>
      </c>
      <c r="C151" s="2">
        <v>2134680</v>
      </c>
      <c r="D151" s="2" t="s">
        <v>401</v>
      </c>
      <c r="E151" s="2">
        <v>0</v>
      </c>
      <c r="F151" s="2">
        <v>0</v>
      </c>
      <c r="G151" s="2">
        <v>0</v>
      </c>
      <c r="H151" s="2">
        <v>34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f>SUM(parking_data_1030[[#This Row],[Résidenti]:[Autres]])</f>
        <v>34</v>
      </c>
      <c r="R151" s="2">
        <v>0</v>
      </c>
      <c r="S151" s="2">
        <v>0</v>
      </c>
      <c r="T151" s="2" t="s">
        <v>43</v>
      </c>
      <c r="U151" s="2" t="s">
        <v>58</v>
      </c>
      <c r="V151" s="2" t="s">
        <v>59</v>
      </c>
      <c r="W151" s="2">
        <v>1</v>
      </c>
      <c r="X151" s="2">
        <v>1</v>
      </c>
      <c r="Y151" s="2">
        <v>0</v>
      </c>
      <c r="Z151" s="2">
        <v>0</v>
      </c>
      <c r="AA151" s="2">
        <v>0</v>
      </c>
      <c r="AB151" s="2"/>
      <c r="AC151" s="2">
        <v>0</v>
      </c>
      <c r="AD151" s="3">
        <v>46071</v>
      </c>
      <c r="AE151" s="2" t="s">
        <v>52</v>
      </c>
      <c r="AF151" s="2">
        <v>1435</v>
      </c>
      <c r="AG151" s="2">
        <v>8</v>
      </c>
      <c r="AH151" s="2" t="s">
        <v>402</v>
      </c>
      <c r="AI151" s="2" t="s">
        <v>43</v>
      </c>
      <c r="AJ151" s="2">
        <v>-26</v>
      </c>
      <c r="AK151" s="2">
        <v>34</v>
      </c>
      <c r="AL151" s="2" t="s">
        <v>403</v>
      </c>
      <c r="AM151" s="2">
        <v>3</v>
      </c>
      <c r="AN151" s="2">
        <v>0</v>
      </c>
      <c r="AO151" s="2" t="s">
        <v>404</v>
      </c>
      <c r="AP151" s="2"/>
      <c r="AQ151" s="2" t="s">
        <v>70</v>
      </c>
      <c r="AR151" s="2" t="s">
        <v>993</v>
      </c>
      <c r="AS151" s="2" t="s">
        <v>994</v>
      </c>
      <c r="AT151" s="2" t="s">
        <v>995</v>
      </c>
      <c r="AU151" s="2" t="s">
        <v>996</v>
      </c>
      <c r="AV151" s="2" t="s">
        <v>897</v>
      </c>
      <c r="AW151" s="2">
        <v>4.3664191812000004</v>
      </c>
      <c r="AX151" s="2">
        <v>50.862463221699997</v>
      </c>
    </row>
    <row r="152" spans="2:50" x14ac:dyDescent="0.25">
      <c r="B152" s="2">
        <v>466</v>
      </c>
      <c r="C152" s="2"/>
      <c r="D152" s="2" t="s">
        <v>542</v>
      </c>
      <c r="E152" s="2">
        <v>17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f>SUM(parking_data_1030[[#This Row],[Résidenti]:[Autres]])</f>
        <v>17</v>
      </c>
      <c r="R152" s="2">
        <v>0</v>
      </c>
      <c r="S152" s="2">
        <v>0</v>
      </c>
      <c r="T152" s="2" t="s">
        <v>43</v>
      </c>
      <c r="U152" s="2" t="s">
        <v>76</v>
      </c>
      <c r="V152" s="2" t="s">
        <v>45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 t="s">
        <v>543</v>
      </c>
      <c r="AC152" s="2">
        <v>0</v>
      </c>
      <c r="AD152" s="2"/>
      <c r="AE152" s="2" t="s">
        <v>52</v>
      </c>
      <c r="AF152" s="2">
        <v>0</v>
      </c>
      <c r="AG152" s="2">
        <v>0</v>
      </c>
      <c r="AH152" s="2" t="s">
        <v>544</v>
      </c>
      <c r="AI152" s="2" t="s">
        <v>43</v>
      </c>
      <c r="AJ152" s="2">
        <v>0</v>
      </c>
      <c r="AK152" s="2">
        <v>0</v>
      </c>
      <c r="AL152" s="2"/>
      <c r="AM152" s="2">
        <v>0</v>
      </c>
      <c r="AN152" s="2">
        <v>0</v>
      </c>
      <c r="AO152" s="2"/>
      <c r="AP152" s="2"/>
      <c r="AQ152" s="2" t="s">
        <v>48</v>
      </c>
      <c r="AR152" s="12" t="s">
        <v>1599</v>
      </c>
      <c r="AS152" s="2" t="s">
        <v>994</v>
      </c>
      <c r="AT152" s="2" t="s">
        <v>995</v>
      </c>
      <c r="AU152" s="2" t="s">
        <v>1470</v>
      </c>
      <c r="AV152" s="2" t="s">
        <v>897</v>
      </c>
      <c r="AW152" s="2">
        <v>4.3657634350999999</v>
      </c>
      <c r="AX152" s="2">
        <v>50.860496464400001</v>
      </c>
    </row>
    <row r="153" spans="2:50" x14ac:dyDescent="0.25">
      <c r="B153" s="2">
        <v>278</v>
      </c>
      <c r="C153" s="2">
        <v>2154149</v>
      </c>
      <c r="D153" s="2" t="s">
        <v>453</v>
      </c>
      <c r="E153" s="2">
        <v>15</v>
      </c>
      <c r="F153" s="2">
        <v>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f>SUM(parking_data_1030[[#This Row],[Résidenti]:[Autres]])</f>
        <v>15</v>
      </c>
      <c r="R153" s="2">
        <v>0</v>
      </c>
      <c r="S153" s="2">
        <v>0</v>
      </c>
      <c r="T153" s="2" t="s">
        <v>43</v>
      </c>
      <c r="U153" s="2" t="s">
        <v>44</v>
      </c>
      <c r="V153" s="2" t="s">
        <v>45</v>
      </c>
      <c r="W153" s="2">
        <v>0</v>
      </c>
      <c r="X153" s="2">
        <v>1</v>
      </c>
      <c r="Y153" s="2">
        <v>0</v>
      </c>
      <c r="Z153" s="2">
        <v>1</v>
      </c>
      <c r="AA153" s="2">
        <v>0</v>
      </c>
      <c r="AB153" s="2"/>
      <c r="AC153" s="2">
        <v>0</v>
      </c>
      <c r="AD153" s="2"/>
      <c r="AE153" s="2" t="s">
        <v>46</v>
      </c>
      <c r="AF153" s="2">
        <v>0</v>
      </c>
      <c r="AG153" s="2">
        <v>0</v>
      </c>
      <c r="AH153" s="2" t="s">
        <v>120</v>
      </c>
      <c r="AI153" s="2" t="s">
        <v>43</v>
      </c>
      <c r="AJ153" s="2">
        <v>0</v>
      </c>
      <c r="AK153" s="2">
        <v>0</v>
      </c>
      <c r="AL153" s="2"/>
      <c r="AM153" s="2">
        <v>0</v>
      </c>
      <c r="AN153" s="2">
        <v>0</v>
      </c>
      <c r="AO153" s="2"/>
      <c r="AP153" s="2"/>
      <c r="AQ153" s="2" t="s">
        <v>48</v>
      </c>
      <c r="AR153" s="2" t="s">
        <v>926</v>
      </c>
      <c r="AS153" s="2" t="s">
        <v>1329</v>
      </c>
      <c r="AT153" s="2" t="s">
        <v>1330</v>
      </c>
      <c r="AU153" s="2" t="s">
        <v>1328</v>
      </c>
      <c r="AV153" s="2" t="s">
        <v>1137</v>
      </c>
      <c r="AW153" s="2">
        <v>4.3892959514000003</v>
      </c>
      <c r="AX153" s="2">
        <v>50.853238413200003</v>
      </c>
    </row>
    <row r="154" spans="2:50" x14ac:dyDescent="0.25">
      <c r="B154" s="2">
        <v>281</v>
      </c>
      <c r="C154" s="2">
        <v>2153916</v>
      </c>
      <c r="D154" s="2" t="s">
        <v>440</v>
      </c>
      <c r="E154" s="2">
        <v>0</v>
      </c>
      <c r="F154" s="2">
        <v>0</v>
      </c>
      <c r="G154" s="2">
        <v>0</v>
      </c>
      <c r="H154" s="2">
        <v>0</v>
      </c>
      <c r="I154" s="2">
        <v>10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f>SUM(parking_data_1030[[#This Row],[Résidenti]:[Autres]])</f>
        <v>10</v>
      </c>
      <c r="R154" s="2">
        <v>0</v>
      </c>
      <c r="S154" s="2">
        <v>0</v>
      </c>
      <c r="T154" s="2" t="s">
        <v>43</v>
      </c>
      <c r="U154" s="2" t="s">
        <v>64</v>
      </c>
      <c r="V154" s="2" t="s">
        <v>45</v>
      </c>
      <c r="W154" s="2">
        <v>0</v>
      </c>
      <c r="X154" s="2">
        <v>1</v>
      </c>
      <c r="Y154" s="2">
        <v>1</v>
      </c>
      <c r="Z154" s="2">
        <v>0</v>
      </c>
      <c r="AA154" s="2">
        <v>1</v>
      </c>
      <c r="AB154" s="2"/>
      <c r="AC154" s="2">
        <v>0</v>
      </c>
      <c r="AD154" s="2"/>
      <c r="AE154" s="2" t="s">
        <v>46</v>
      </c>
      <c r="AF154" s="2">
        <v>0</v>
      </c>
      <c r="AG154" s="2">
        <v>0</v>
      </c>
      <c r="AH154" s="2"/>
      <c r="AI154" s="2" t="s">
        <v>43</v>
      </c>
      <c r="AJ154" s="2">
        <v>0</v>
      </c>
      <c r="AK154" s="2">
        <v>10</v>
      </c>
      <c r="AL154" s="2"/>
      <c r="AM154" s="2">
        <v>0</v>
      </c>
      <c r="AN154" s="2">
        <v>0</v>
      </c>
      <c r="AO154" s="2"/>
      <c r="AP154" s="2"/>
      <c r="AQ154" s="2" t="s">
        <v>48</v>
      </c>
      <c r="AR154" s="2" t="s">
        <v>1335</v>
      </c>
      <c r="AS154" s="2" t="s">
        <v>1329</v>
      </c>
      <c r="AT154" s="2" t="s">
        <v>1330</v>
      </c>
      <c r="AU154" s="2" t="s">
        <v>1336</v>
      </c>
      <c r="AV154" s="2" t="s">
        <v>1137</v>
      </c>
      <c r="AW154" s="2">
        <v>4.38674652</v>
      </c>
      <c r="AX154" s="2">
        <v>50.854998189699998</v>
      </c>
    </row>
    <row r="155" spans="2:50" x14ac:dyDescent="0.25">
      <c r="B155" s="2">
        <v>455</v>
      </c>
      <c r="C155" s="2">
        <v>2179449</v>
      </c>
      <c r="D155" s="2" t="s">
        <v>561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30</v>
      </c>
      <c r="Q155" s="2">
        <f>SUM(parking_data_1030[[#This Row],[Résidenti]:[Autres]])</f>
        <v>30</v>
      </c>
      <c r="R155" s="2">
        <v>0</v>
      </c>
      <c r="S155" s="2">
        <v>0</v>
      </c>
      <c r="T155" s="2" t="s">
        <v>43</v>
      </c>
      <c r="U155" s="2" t="s">
        <v>64</v>
      </c>
      <c r="V155" s="2" t="s">
        <v>45</v>
      </c>
      <c r="W155" s="2">
        <v>0</v>
      </c>
      <c r="X155" s="2">
        <v>0</v>
      </c>
      <c r="Y155" s="2">
        <v>0</v>
      </c>
      <c r="Z155" s="2">
        <v>1</v>
      </c>
      <c r="AA155" s="2">
        <v>0</v>
      </c>
      <c r="AB155" s="2"/>
      <c r="AC155" s="2">
        <v>0</v>
      </c>
      <c r="AD155" s="2"/>
      <c r="AE155" s="2" t="s">
        <v>46</v>
      </c>
      <c r="AF155" s="2">
        <v>0</v>
      </c>
      <c r="AG155" s="2">
        <v>0</v>
      </c>
      <c r="AH155" s="2" t="s">
        <v>562</v>
      </c>
      <c r="AI155" s="2" t="s">
        <v>43</v>
      </c>
      <c r="AJ155" s="2">
        <v>0</v>
      </c>
      <c r="AK155" s="2">
        <v>30</v>
      </c>
      <c r="AL155" s="2"/>
      <c r="AM155" s="2">
        <v>0</v>
      </c>
      <c r="AN155" s="2">
        <v>0</v>
      </c>
      <c r="AO155" s="2"/>
      <c r="AP155" s="2"/>
      <c r="AQ155" s="2" t="s">
        <v>48</v>
      </c>
      <c r="AR155" s="2" t="s">
        <v>1226</v>
      </c>
      <c r="AS155" s="2" t="s">
        <v>1574</v>
      </c>
      <c r="AT155" s="2" t="s">
        <v>1575</v>
      </c>
      <c r="AU155" s="2" t="s">
        <v>1576</v>
      </c>
      <c r="AV155" s="2" t="s">
        <v>835</v>
      </c>
      <c r="AW155" s="2">
        <v>4.3911918818000002</v>
      </c>
      <c r="AX155" s="2">
        <v>50.8748961987</v>
      </c>
    </row>
    <row r="156" spans="2:50" x14ac:dyDescent="0.25">
      <c r="B156" s="2">
        <v>92</v>
      </c>
      <c r="C156" s="2">
        <v>2163354</v>
      </c>
      <c r="D156" s="2" t="s">
        <v>683</v>
      </c>
      <c r="E156" s="2">
        <v>23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f>SUM(parking_data_1030[[#This Row],[Résidenti]:[Autres]])</f>
        <v>23</v>
      </c>
      <c r="R156" s="2">
        <v>0</v>
      </c>
      <c r="S156" s="2">
        <v>0</v>
      </c>
      <c r="T156" s="2" t="s">
        <v>43</v>
      </c>
      <c r="U156" s="2" t="s">
        <v>54</v>
      </c>
      <c r="V156" s="2" t="s">
        <v>45</v>
      </c>
      <c r="W156" s="2">
        <v>1</v>
      </c>
      <c r="X156" s="2">
        <v>1</v>
      </c>
      <c r="Y156" s="2">
        <v>0</v>
      </c>
      <c r="Z156" s="2">
        <v>0</v>
      </c>
      <c r="AA156" s="2">
        <v>0</v>
      </c>
      <c r="AB156" s="2"/>
      <c r="AC156" s="2">
        <v>0</v>
      </c>
      <c r="AD156" s="2"/>
      <c r="AE156" s="2" t="s">
        <v>46</v>
      </c>
      <c r="AF156" s="2">
        <v>0</v>
      </c>
      <c r="AG156" s="2">
        <v>0</v>
      </c>
      <c r="AH156" s="2"/>
      <c r="AI156" s="2" t="s">
        <v>43</v>
      </c>
      <c r="AJ156" s="2">
        <v>0</v>
      </c>
      <c r="AK156" s="2">
        <v>0</v>
      </c>
      <c r="AL156" s="2"/>
      <c r="AM156" s="2">
        <v>0</v>
      </c>
      <c r="AN156" s="2">
        <v>0</v>
      </c>
      <c r="AO156" s="2"/>
      <c r="AP156" s="2"/>
      <c r="AQ156" s="2" t="s">
        <v>48</v>
      </c>
      <c r="AR156" s="2" t="s">
        <v>1048</v>
      </c>
      <c r="AS156" s="2" t="s">
        <v>1049</v>
      </c>
      <c r="AT156" s="2" t="s">
        <v>1050</v>
      </c>
      <c r="AU156" s="2" t="s">
        <v>1051</v>
      </c>
      <c r="AV156" s="2" t="s">
        <v>1000</v>
      </c>
      <c r="AW156" s="2">
        <v>4.3906120902000003</v>
      </c>
      <c r="AX156" s="2">
        <v>50.863197432200003</v>
      </c>
    </row>
    <row r="157" spans="2:50" x14ac:dyDescent="0.25">
      <c r="B157" s="2">
        <v>93</v>
      </c>
      <c r="C157" s="2">
        <v>2134144</v>
      </c>
      <c r="D157" s="2" t="s">
        <v>684</v>
      </c>
      <c r="E157" s="2">
        <v>19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f>SUM(parking_data_1030[[#This Row],[Résidenti]:[Autres]])</f>
        <v>19</v>
      </c>
      <c r="R157" s="2">
        <v>0</v>
      </c>
      <c r="S157" s="2">
        <v>0</v>
      </c>
      <c r="T157" s="2" t="s">
        <v>43</v>
      </c>
      <c r="U157" s="2" t="s">
        <v>54</v>
      </c>
      <c r="V157" s="2" t="s">
        <v>45</v>
      </c>
      <c r="W157" s="2">
        <v>1</v>
      </c>
      <c r="X157" s="2">
        <v>1</v>
      </c>
      <c r="Y157" s="2">
        <v>0</v>
      </c>
      <c r="Z157" s="2">
        <v>0</v>
      </c>
      <c r="AA157" s="2">
        <v>0</v>
      </c>
      <c r="AB157" s="2"/>
      <c r="AC157" s="2">
        <v>0</v>
      </c>
      <c r="AD157" s="3">
        <v>45276</v>
      </c>
      <c r="AE157" s="2" t="s">
        <v>46</v>
      </c>
      <c r="AF157" s="2">
        <v>0</v>
      </c>
      <c r="AG157" s="2">
        <v>0</v>
      </c>
      <c r="AH157" s="2"/>
      <c r="AI157" s="2" t="s">
        <v>43</v>
      </c>
      <c r="AJ157" s="2">
        <v>0</v>
      </c>
      <c r="AK157" s="2">
        <v>0</v>
      </c>
      <c r="AL157" s="2"/>
      <c r="AM157" s="2">
        <v>0</v>
      </c>
      <c r="AN157" s="2">
        <v>0</v>
      </c>
      <c r="AO157" s="2"/>
      <c r="AP157" s="2"/>
      <c r="AQ157" s="2" t="s">
        <v>48</v>
      </c>
      <c r="AR157" s="2" t="s">
        <v>1052</v>
      </c>
      <c r="AS157" s="2" t="s">
        <v>1049</v>
      </c>
      <c r="AT157" s="2" t="s">
        <v>1050</v>
      </c>
      <c r="AU157" s="2" t="s">
        <v>1053</v>
      </c>
      <c r="AV157" s="2" t="s">
        <v>1000</v>
      </c>
      <c r="AW157" s="2">
        <v>4.3919285530999996</v>
      </c>
      <c r="AX157" s="2">
        <v>50.861916449200002</v>
      </c>
    </row>
    <row r="158" spans="2:50" x14ac:dyDescent="0.25">
      <c r="B158" s="2">
        <v>96</v>
      </c>
      <c r="C158" s="2">
        <v>2134197</v>
      </c>
      <c r="D158" s="2" t="s">
        <v>752</v>
      </c>
      <c r="E158" s="2">
        <v>14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f>SUM(parking_data_1030[[#This Row],[Résidenti]:[Autres]])</f>
        <v>14</v>
      </c>
      <c r="R158" s="2">
        <v>0</v>
      </c>
      <c r="S158" s="2">
        <v>0</v>
      </c>
      <c r="T158" s="2" t="s">
        <v>43</v>
      </c>
      <c r="U158" s="2" t="s">
        <v>64</v>
      </c>
      <c r="V158" s="2" t="s">
        <v>45</v>
      </c>
      <c r="W158" s="2">
        <v>1</v>
      </c>
      <c r="X158" s="2">
        <v>1</v>
      </c>
      <c r="Y158" s="2">
        <v>0</v>
      </c>
      <c r="Z158" s="2">
        <v>0</v>
      </c>
      <c r="AA158" s="2">
        <v>0</v>
      </c>
      <c r="AB158" s="2"/>
      <c r="AC158" s="2">
        <v>0</v>
      </c>
      <c r="AD158" s="2"/>
      <c r="AE158" s="2" t="s">
        <v>46</v>
      </c>
      <c r="AF158" s="2">
        <v>0</v>
      </c>
      <c r="AG158" s="2">
        <v>0</v>
      </c>
      <c r="AH158" s="2"/>
      <c r="AI158" s="2" t="s">
        <v>43</v>
      </c>
      <c r="AJ158" s="2">
        <v>0</v>
      </c>
      <c r="AK158" s="2">
        <v>0</v>
      </c>
      <c r="AL158" s="2"/>
      <c r="AM158" s="2">
        <v>0</v>
      </c>
      <c r="AN158" s="2">
        <v>0</v>
      </c>
      <c r="AO158" s="2"/>
      <c r="AP158" s="2"/>
      <c r="AQ158" s="2" t="s">
        <v>48</v>
      </c>
      <c r="AR158" s="2" t="s">
        <v>954</v>
      </c>
      <c r="AS158" s="2" t="s">
        <v>1049</v>
      </c>
      <c r="AT158" s="2" t="s">
        <v>1050</v>
      </c>
      <c r="AU158" s="2" t="s">
        <v>1057</v>
      </c>
      <c r="AV158" s="2" t="s">
        <v>1058</v>
      </c>
      <c r="AW158" s="2">
        <v>4.3926555937999998</v>
      </c>
      <c r="AX158" s="2">
        <v>50.861193043900002</v>
      </c>
    </row>
    <row r="159" spans="2:50" x14ac:dyDescent="0.25">
      <c r="B159" s="2">
        <v>52</v>
      </c>
      <c r="C159" s="2">
        <v>3000167</v>
      </c>
      <c r="D159" s="2" t="s">
        <v>112</v>
      </c>
      <c r="E159" s="2">
        <v>19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f>SUM(parking_data_1030[[#This Row],[Résidenti]:[Autres]])</f>
        <v>19</v>
      </c>
      <c r="R159" s="2">
        <v>0</v>
      </c>
      <c r="S159" s="2">
        <v>0</v>
      </c>
      <c r="T159" s="2" t="s">
        <v>43</v>
      </c>
      <c r="U159" s="2" t="s">
        <v>54</v>
      </c>
      <c r="V159" s="2" t="s">
        <v>45</v>
      </c>
      <c r="W159" s="2">
        <v>1</v>
      </c>
      <c r="X159" s="2">
        <v>1</v>
      </c>
      <c r="Y159" s="2">
        <v>0</v>
      </c>
      <c r="Z159" s="2">
        <v>0</v>
      </c>
      <c r="AA159" s="2">
        <v>0</v>
      </c>
      <c r="AB159" s="2"/>
      <c r="AC159" s="2">
        <v>0</v>
      </c>
      <c r="AD159" s="2"/>
      <c r="AE159" s="2" t="s">
        <v>106</v>
      </c>
      <c r="AF159" s="2">
        <v>0</v>
      </c>
      <c r="AG159" s="2">
        <v>0</v>
      </c>
      <c r="AH159" s="2"/>
      <c r="AI159" s="2" t="s">
        <v>43</v>
      </c>
      <c r="AJ159" s="2">
        <v>0</v>
      </c>
      <c r="AK159" s="2">
        <v>0</v>
      </c>
      <c r="AL159" s="2"/>
      <c r="AM159" s="2">
        <v>0</v>
      </c>
      <c r="AN159" s="2">
        <v>0</v>
      </c>
      <c r="AO159" s="2"/>
      <c r="AP159" s="2"/>
      <c r="AQ159" s="2" t="s">
        <v>48</v>
      </c>
      <c r="AR159" s="2" t="s">
        <v>970</v>
      </c>
      <c r="AS159" s="2" t="s">
        <v>971</v>
      </c>
      <c r="AT159" s="2" t="s">
        <v>972</v>
      </c>
      <c r="AU159" s="2" t="s">
        <v>973</v>
      </c>
      <c r="AV159" s="2" t="s">
        <v>835</v>
      </c>
      <c r="AW159" s="2">
        <v>4.3922558419</v>
      </c>
      <c r="AX159" s="2">
        <v>50.870987911999997</v>
      </c>
    </row>
    <row r="160" spans="2:50" x14ac:dyDescent="0.25">
      <c r="B160" s="2">
        <v>60</v>
      </c>
      <c r="C160" s="2">
        <v>2132597</v>
      </c>
      <c r="D160" s="2" t="s">
        <v>93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30</v>
      </c>
      <c r="N160" s="2">
        <v>0</v>
      </c>
      <c r="O160" s="2">
        <v>0</v>
      </c>
      <c r="P160" s="2">
        <v>0</v>
      </c>
      <c r="Q160" s="2">
        <f>SUM(parking_data_1030[[#This Row],[Résidenti]:[Autres]])</f>
        <v>30</v>
      </c>
      <c r="R160" s="2">
        <v>0</v>
      </c>
      <c r="S160" s="2">
        <v>0</v>
      </c>
      <c r="T160" s="2" t="s">
        <v>43</v>
      </c>
      <c r="U160" s="2" t="s">
        <v>64</v>
      </c>
      <c r="V160" s="2" t="s">
        <v>59</v>
      </c>
      <c r="W160" s="2">
        <v>1</v>
      </c>
      <c r="X160" s="2">
        <v>0</v>
      </c>
      <c r="Y160" s="2">
        <v>1</v>
      </c>
      <c r="Z160" s="2">
        <v>0</v>
      </c>
      <c r="AA160" s="2">
        <v>0</v>
      </c>
      <c r="AB160" s="2"/>
      <c r="AC160" s="2">
        <v>0</v>
      </c>
      <c r="AD160" s="2"/>
      <c r="AE160" s="2" t="s">
        <v>46</v>
      </c>
      <c r="AF160" s="2">
        <v>0</v>
      </c>
      <c r="AG160" s="2">
        <v>0</v>
      </c>
      <c r="AH160" s="2"/>
      <c r="AI160" s="2" t="s">
        <v>43</v>
      </c>
      <c r="AJ160" s="2">
        <v>0</v>
      </c>
      <c r="AK160" s="2">
        <v>30</v>
      </c>
      <c r="AL160" s="2"/>
      <c r="AM160" s="2">
        <v>0</v>
      </c>
      <c r="AN160" s="2">
        <v>0</v>
      </c>
      <c r="AO160" s="2"/>
      <c r="AP160" s="2"/>
      <c r="AQ160" s="2" t="s">
        <v>48</v>
      </c>
      <c r="AR160" s="12" t="s">
        <v>1597</v>
      </c>
      <c r="AS160" s="2" t="s">
        <v>971</v>
      </c>
      <c r="AT160" s="2" t="s">
        <v>972</v>
      </c>
      <c r="AU160" s="2" t="s">
        <v>989</v>
      </c>
      <c r="AV160" s="2" t="s">
        <v>835</v>
      </c>
      <c r="AW160" s="2">
        <v>4.3864552229999996</v>
      </c>
      <c r="AX160" s="2">
        <v>50.870081740099998</v>
      </c>
    </row>
    <row r="161" spans="2:50" x14ac:dyDescent="0.25">
      <c r="B161" s="2">
        <v>65</v>
      </c>
      <c r="C161" s="2">
        <v>2132596</v>
      </c>
      <c r="D161" s="2" t="s">
        <v>808</v>
      </c>
      <c r="E161" s="2">
        <v>0</v>
      </c>
      <c r="F161" s="2">
        <v>0</v>
      </c>
      <c r="G161" s="2">
        <v>0</v>
      </c>
      <c r="H161" s="2">
        <v>221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f>SUM(parking_data_1030[[#This Row],[Résidenti]:[Autres]])</f>
        <v>221</v>
      </c>
      <c r="R161" s="2">
        <v>25</v>
      </c>
      <c r="S161" s="2">
        <v>25</v>
      </c>
      <c r="T161" s="2" t="s">
        <v>43</v>
      </c>
      <c r="U161" s="2" t="s">
        <v>64</v>
      </c>
      <c r="V161" s="2" t="s">
        <v>59</v>
      </c>
      <c r="W161" s="2">
        <v>0</v>
      </c>
      <c r="X161" s="2">
        <v>0</v>
      </c>
      <c r="Y161" s="2">
        <v>1</v>
      </c>
      <c r="Z161" s="2">
        <v>0</v>
      </c>
      <c r="AA161" s="2">
        <v>1</v>
      </c>
      <c r="AB161" s="2"/>
      <c r="AC161" s="2">
        <v>48</v>
      </c>
      <c r="AD161" s="2"/>
      <c r="AE161" s="2" t="s">
        <v>46</v>
      </c>
      <c r="AF161" s="2">
        <v>37917</v>
      </c>
      <c r="AG161" s="2">
        <v>380</v>
      </c>
      <c r="AH161" s="2" t="s">
        <v>809</v>
      </c>
      <c r="AI161" s="2" t="s">
        <v>43</v>
      </c>
      <c r="AJ161" s="2">
        <v>159</v>
      </c>
      <c r="AK161" s="2">
        <v>221</v>
      </c>
      <c r="AL161" s="2"/>
      <c r="AM161" s="2">
        <v>0</v>
      </c>
      <c r="AN161" s="2">
        <v>0</v>
      </c>
      <c r="AO161" s="2"/>
      <c r="AP161" s="2"/>
      <c r="AQ161" s="2" t="s">
        <v>48</v>
      </c>
      <c r="AR161" s="2" t="s">
        <v>1593</v>
      </c>
      <c r="AS161" s="2" t="s">
        <v>971</v>
      </c>
      <c r="AT161" s="2" t="s">
        <v>972</v>
      </c>
      <c r="AU161" s="2" t="s">
        <v>989</v>
      </c>
      <c r="AV161" s="2" t="s">
        <v>835</v>
      </c>
      <c r="AW161" s="2">
        <v>4.3879019674000004</v>
      </c>
      <c r="AX161" s="2">
        <v>50.870225414300002</v>
      </c>
    </row>
    <row r="162" spans="2:50" x14ac:dyDescent="0.25">
      <c r="B162" s="2">
        <v>67</v>
      </c>
      <c r="C162" s="2">
        <v>2176999</v>
      </c>
      <c r="D162" s="2" t="s">
        <v>709</v>
      </c>
      <c r="E162" s="2">
        <v>0</v>
      </c>
      <c r="F162" s="2">
        <v>0</v>
      </c>
      <c r="G162" s="2">
        <v>0</v>
      </c>
      <c r="H162" s="2">
        <v>0</v>
      </c>
      <c r="I162" s="2">
        <v>16</v>
      </c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f>SUM(parking_data_1030[[#This Row],[Résidenti]:[Autres]])</f>
        <v>16</v>
      </c>
      <c r="R162" s="2">
        <v>0</v>
      </c>
      <c r="S162" s="2">
        <v>0</v>
      </c>
      <c r="T162" s="2" t="s">
        <v>43</v>
      </c>
      <c r="U162" s="2" t="s">
        <v>44</v>
      </c>
      <c r="V162" s="2" t="s">
        <v>45</v>
      </c>
      <c r="W162" s="2">
        <v>1</v>
      </c>
      <c r="X162" s="2">
        <v>1</v>
      </c>
      <c r="Y162" s="2">
        <v>0</v>
      </c>
      <c r="Z162" s="2">
        <v>0</v>
      </c>
      <c r="AA162" s="2">
        <v>0</v>
      </c>
      <c r="AB162" s="2"/>
      <c r="AC162" s="2">
        <v>0</v>
      </c>
      <c r="AD162" s="2"/>
      <c r="AE162" s="2" t="s">
        <v>46</v>
      </c>
      <c r="AF162" s="2">
        <v>0</v>
      </c>
      <c r="AG162" s="2">
        <v>0</v>
      </c>
      <c r="AH162" s="2" t="s">
        <v>710</v>
      </c>
      <c r="AI162" s="2" t="s">
        <v>43</v>
      </c>
      <c r="AJ162" s="2">
        <v>0</v>
      </c>
      <c r="AK162" s="2">
        <v>16</v>
      </c>
      <c r="AL162" s="2"/>
      <c r="AM162" s="2">
        <v>0</v>
      </c>
      <c r="AN162" s="2">
        <v>0</v>
      </c>
      <c r="AO162" s="2"/>
      <c r="AP162" s="2"/>
      <c r="AQ162" s="2" t="s">
        <v>48</v>
      </c>
      <c r="AR162" s="2" t="s">
        <v>998</v>
      </c>
      <c r="AS162" s="2" t="s">
        <v>971</v>
      </c>
      <c r="AT162" s="2" t="s">
        <v>972</v>
      </c>
      <c r="AU162" s="2" t="s">
        <v>999</v>
      </c>
      <c r="AV162" s="2" t="s">
        <v>1000</v>
      </c>
      <c r="AW162" s="2">
        <v>4.3896837366000003</v>
      </c>
      <c r="AX162" s="2">
        <v>50.869936916999997</v>
      </c>
    </row>
    <row r="163" spans="2:50" x14ac:dyDescent="0.25">
      <c r="B163" s="2">
        <v>68</v>
      </c>
      <c r="C163" s="2">
        <v>2176630</v>
      </c>
      <c r="D163" s="2" t="s">
        <v>711</v>
      </c>
      <c r="E163" s="2">
        <v>0</v>
      </c>
      <c r="F163" s="2">
        <v>0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f>SUM(parking_data_1030[[#This Row],[Résidenti]:[Autres]])</f>
        <v>0</v>
      </c>
      <c r="R163" s="2">
        <v>0</v>
      </c>
      <c r="S163" s="2">
        <v>0</v>
      </c>
      <c r="T163" s="2" t="s">
        <v>43</v>
      </c>
      <c r="U163" s="2" t="s">
        <v>44</v>
      </c>
      <c r="V163" s="2" t="s">
        <v>45</v>
      </c>
      <c r="W163" s="2">
        <v>0</v>
      </c>
      <c r="X163" s="2">
        <v>0</v>
      </c>
      <c r="Y163" s="2">
        <v>0</v>
      </c>
      <c r="Z163" s="2">
        <v>1</v>
      </c>
      <c r="AA163" s="2">
        <v>0</v>
      </c>
      <c r="AB163" s="2" t="s">
        <v>191</v>
      </c>
      <c r="AC163" s="2">
        <v>0</v>
      </c>
      <c r="AD163" s="2"/>
      <c r="AE163" s="2" t="s">
        <v>46</v>
      </c>
      <c r="AF163" s="2">
        <v>0</v>
      </c>
      <c r="AG163" s="2">
        <v>0</v>
      </c>
      <c r="AH163" s="2" t="s">
        <v>712</v>
      </c>
      <c r="AI163" s="2" t="s">
        <v>79</v>
      </c>
      <c r="AJ163" s="2">
        <v>0</v>
      </c>
      <c r="AK163" s="2">
        <v>0</v>
      </c>
      <c r="AL163" s="2"/>
      <c r="AM163" s="2">
        <v>0</v>
      </c>
      <c r="AN163" s="2">
        <v>0</v>
      </c>
      <c r="AO163" s="2"/>
      <c r="AP163" s="2"/>
      <c r="AQ163" s="2" t="s">
        <v>48</v>
      </c>
      <c r="AR163" s="2" t="s">
        <v>1001</v>
      </c>
      <c r="AS163" s="2" t="s">
        <v>971</v>
      </c>
      <c r="AT163" s="2" t="s">
        <v>972</v>
      </c>
      <c r="AU163" s="2" t="s">
        <v>1002</v>
      </c>
      <c r="AV163" s="2" t="s">
        <v>1000</v>
      </c>
      <c r="AW163" s="2">
        <v>4.3882311138999999</v>
      </c>
      <c r="AX163" s="2">
        <v>50.869520514000001</v>
      </c>
    </row>
    <row r="164" spans="2:50" x14ac:dyDescent="0.25">
      <c r="B164" s="2">
        <v>69</v>
      </c>
      <c r="C164" s="2">
        <v>3000302</v>
      </c>
      <c r="D164" s="2" t="s">
        <v>713</v>
      </c>
      <c r="E164" s="2">
        <v>0</v>
      </c>
      <c r="F164" s="2">
        <v>0</v>
      </c>
      <c r="G164" s="2">
        <v>0</v>
      </c>
      <c r="H164" s="2">
        <v>5</v>
      </c>
      <c r="I164" s="2">
        <v>39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f>SUM(parking_data_1030[[#This Row],[Résidenti]:[Autres]])</f>
        <v>44</v>
      </c>
      <c r="R164" s="2">
        <v>0</v>
      </c>
      <c r="S164" s="2">
        <v>0</v>
      </c>
      <c r="T164" s="2" t="s">
        <v>79</v>
      </c>
      <c r="U164" s="2" t="s">
        <v>64</v>
      </c>
      <c r="V164" s="2" t="s">
        <v>45</v>
      </c>
      <c r="W164" s="2">
        <v>1</v>
      </c>
      <c r="X164" s="2">
        <v>1</v>
      </c>
      <c r="Y164" s="2">
        <v>1</v>
      </c>
      <c r="Z164" s="2">
        <v>0</v>
      </c>
      <c r="AA164" s="2">
        <v>1</v>
      </c>
      <c r="AB164" s="2"/>
      <c r="AC164" s="2">
        <v>0</v>
      </c>
      <c r="AD164" s="2"/>
      <c r="AE164" s="2" t="s">
        <v>46</v>
      </c>
      <c r="AF164" s="2">
        <v>0</v>
      </c>
      <c r="AG164" s="2">
        <v>0</v>
      </c>
      <c r="AH164" s="2" t="s">
        <v>714</v>
      </c>
      <c r="AI164" s="2" t="s">
        <v>43</v>
      </c>
      <c r="AJ164" s="2">
        <v>0</v>
      </c>
      <c r="AK164" s="2">
        <v>44</v>
      </c>
      <c r="AL164" s="2"/>
      <c r="AM164" s="2">
        <v>0</v>
      </c>
      <c r="AN164" s="2">
        <v>0</v>
      </c>
      <c r="AO164" s="2"/>
      <c r="AP164" s="2"/>
      <c r="AQ164" s="2" t="s">
        <v>48</v>
      </c>
      <c r="AR164" s="2" t="s">
        <v>1003</v>
      </c>
      <c r="AS164" s="2" t="s">
        <v>971</v>
      </c>
      <c r="AT164" s="2" t="s">
        <v>972</v>
      </c>
      <c r="AU164" s="2" t="s">
        <v>1002</v>
      </c>
      <c r="AV164" s="2" t="s">
        <v>1000</v>
      </c>
      <c r="AW164" s="2">
        <v>4.3872132022999999</v>
      </c>
      <c r="AX164" s="2">
        <v>50.869182221899997</v>
      </c>
    </row>
    <row r="165" spans="2:50" x14ac:dyDescent="0.25">
      <c r="B165" s="2">
        <v>73</v>
      </c>
      <c r="C165" s="2">
        <v>2177152</v>
      </c>
      <c r="D165" s="2" t="s">
        <v>699</v>
      </c>
      <c r="E165" s="2">
        <v>14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f>SUM(parking_data_1030[[#This Row],[Résidenti]:[Autres]])</f>
        <v>14</v>
      </c>
      <c r="R165" s="2">
        <v>0</v>
      </c>
      <c r="S165" s="2">
        <v>0</v>
      </c>
      <c r="T165" s="2" t="s">
        <v>43</v>
      </c>
      <c r="U165" s="2" t="s">
        <v>54</v>
      </c>
      <c r="V165" s="2" t="s">
        <v>45</v>
      </c>
      <c r="W165" s="2">
        <v>1</v>
      </c>
      <c r="X165" s="2">
        <v>1</v>
      </c>
      <c r="Y165" s="2">
        <v>0</v>
      </c>
      <c r="Z165" s="2">
        <v>1</v>
      </c>
      <c r="AA165" s="2">
        <v>0</v>
      </c>
      <c r="AB165" s="2"/>
      <c r="AC165" s="2">
        <v>0</v>
      </c>
      <c r="AD165" s="2"/>
      <c r="AE165" s="2" t="s">
        <v>106</v>
      </c>
      <c r="AF165" s="2">
        <v>0</v>
      </c>
      <c r="AG165" s="2">
        <v>0</v>
      </c>
      <c r="AH165" s="2"/>
      <c r="AI165" s="2" t="s">
        <v>43</v>
      </c>
      <c r="AJ165" s="2">
        <v>0</v>
      </c>
      <c r="AK165" s="2">
        <v>0</v>
      </c>
      <c r="AL165" s="2"/>
      <c r="AM165" s="2">
        <v>0</v>
      </c>
      <c r="AN165" s="2">
        <v>0</v>
      </c>
      <c r="AO165" s="2"/>
      <c r="AP165" s="2"/>
      <c r="AQ165" s="2" t="s">
        <v>48</v>
      </c>
      <c r="AR165" s="2" t="s">
        <v>1014</v>
      </c>
      <c r="AS165" s="2" t="s">
        <v>971</v>
      </c>
      <c r="AT165" s="2" t="s">
        <v>972</v>
      </c>
      <c r="AU165" s="2" t="s">
        <v>1015</v>
      </c>
      <c r="AV165" s="2" t="s">
        <v>1000</v>
      </c>
      <c r="AW165" s="2">
        <v>4.3938131955999999</v>
      </c>
      <c r="AX165" s="2">
        <v>50.871126809700002</v>
      </c>
    </row>
    <row r="166" spans="2:50" x14ac:dyDescent="0.25">
      <c r="B166" s="2">
        <v>74</v>
      </c>
      <c r="C166" s="2">
        <v>2177178</v>
      </c>
      <c r="D166" s="2" t="s">
        <v>700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f>SUM(parking_data_1030[[#This Row],[Résidenti]:[Autres]])</f>
        <v>0</v>
      </c>
      <c r="R166" s="2">
        <v>0</v>
      </c>
      <c r="S166" s="2">
        <v>0</v>
      </c>
      <c r="T166" s="2" t="s">
        <v>43</v>
      </c>
      <c r="U166" s="2" t="s">
        <v>44</v>
      </c>
      <c r="V166" s="2" t="s">
        <v>45</v>
      </c>
      <c r="W166" s="2">
        <v>1</v>
      </c>
      <c r="X166" s="2">
        <v>1</v>
      </c>
      <c r="Y166" s="2">
        <v>0</v>
      </c>
      <c r="Z166" s="2">
        <v>0</v>
      </c>
      <c r="AA166" s="2">
        <v>0</v>
      </c>
      <c r="AB166" s="2"/>
      <c r="AC166" s="2">
        <v>0</v>
      </c>
      <c r="AD166" s="2"/>
      <c r="AE166" s="2" t="s">
        <v>106</v>
      </c>
      <c r="AF166" s="2">
        <v>0</v>
      </c>
      <c r="AG166" s="2">
        <v>0</v>
      </c>
      <c r="AH166" s="2" t="s">
        <v>192</v>
      </c>
      <c r="AI166" s="2" t="s">
        <v>79</v>
      </c>
      <c r="AJ166" s="2">
        <v>0</v>
      </c>
      <c r="AK166" s="2">
        <v>0</v>
      </c>
      <c r="AL166" s="2"/>
      <c r="AM166" s="2">
        <v>0</v>
      </c>
      <c r="AN166" s="2">
        <v>0</v>
      </c>
      <c r="AO166" s="2"/>
      <c r="AP166" s="2"/>
      <c r="AQ166" s="2" t="s">
        <v>48</v>
      </c>
      <c r="AR166" s="2" t="s">
        <v>1016</v>
      </c>
      <c r="AS166" s="2" t="s">
        <v>971</v>
      </c>
      <c r="AT166" s="2" t="s">
        <v>972</v>
      </c>
      <c r="AU166" s="2" t="s">
        <v>1015</v>
      </c>
      <c r="AV166" s="2" t="s">
        <v>1000</v>
      </c>
      <c r="AW166" s="2">
        <v>4.3939408534000002</v>
      </c>
      <c r="AX166" s="2">
        <v>50.8711797725</v>
      </c>
    </row>
    <row r="167" spans="2:50" x14ac:dyDescent="0.25">
      <c r="B167" s="2">
        <v>348</v>
      </c>
      <c r="C167" s="2">
        <v>2145438</v>
      </c>
      <c r="D167" s="2" t="s">
        <v>320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15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f>SUM(parking_data_1030[[#This Row],[Résidenti]:[Autres]])</f>
        <v>15</v>
      </c>
      <c r="R167" s="2">
        <v>0</v>
      </c>
      <c r="S167" s="2">
        <v>0</v>
      </c>
      <c r="T167" s="2" t="s">
        <v>43</v>
      </c>
      <c r="U167" s="2" t="s">
        <v>44</v>
      </c>
      <c r="V167" s="2" t="s">
        <v>59</v>
      </c>
      <c r="W167" s="2">
        <v>1</v>
      </c>
      <c r="X167" s="2">
        <v>0</v>
      </c>
      <c r="Y167" s="2">
        <v>0</v>
      </c>
      <c r="Z167" s="2">
        <v>0</v>
      </c>
      <c r="AA167" s="2">
        <v>0</v>
      </c>
      <c r="AB167" s="2"/>
      <c r="AC167" s="2">
        <v>0</v>
      </c>
      <c r="AD167" s="2"/>
      <c r="AE167" s="2" t="s">
        <v>46</v>
      </c>
      <c r="AF167" s="2">
        <v>0</v>
      </c>
      <c r="AG167" s="2">
        <v>0</v>
      </c>
      <c r="AH167" s="2" t="s">
        <v>321</v>
      </c>
      <c r="AI167" s="2" t="s">
        <v>43</v>
      </c>
      <c r="AJ167" s="2">
        <v>0</v>
      </c>
      <c r="AK167" s="2">
        <v>15</v>
      </c>
      <c r="AL167" s="2"/>
      <c r="AM167" s="2">
        <v>0</v>
      </c>
      <c r="AN167" s="2">
        <v>0</v>
      </c>
      <c r="AO167" s="2"/>
      <c r="AP167" s="2"/>
      <c r="AQ167" s="2" t="s">
        <v>48</v>
      </c>
      <c r="AR167" s="2" t="s">
        <v>1260</v>
      </c>
      <c r="AS167" s="2" t="s">
        <v>971</v>
      </c>
      <c r="AT167" s="2" t="s">
        <v>972</v>
      </c>
      <c r="AU167" s="2" t="s">
        <v>1443</v>
      </c>
      <c r="AV167" s="2" t="s">
        <v>1420</v>
      </c>
      <c r="AW167" s="2">
        <v>4.3714058683000001</v>
      </c>
      <c r="AX167" s="2">
        <v>50.860066290100001</v>
      </c>
    </row>
    <row r="168" spans="2:50" x14ac:dyDescent="0.25">
      <c r="B168" s="2">
        <v>350</v>
      </c>
      <c r="C168" s="2">
        <v>2149342</v>
      </c>
      <c r="D168" s="2" t="s">
        <v>323</v>
      </c>
      <c r="E168" s="2">
        <v>0</v>
      </c>
      <c r="F168" s="2">
        <v>0</v>
      </c>
      <c r="G168" s="2">
        <v>0</v>
      </c>
      <c r="H168" s="2">
        <v>14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f>SUM(parking_data_1030[[#This Row],[Résidenti]:[Autres]])</f>
        <v>14</v>
      </c>
      <c r="R168" s="2">
        <v>0</v>
      </c>
      <c r="S168" s="2">
        <v>0</v>
      </c>
      <c r="T168" s="2" t="s">
        <v>43</v>
      </c>
      <c r="U168" s="2" t="s">
        <v>44</v>
      </c>
      <c r="V168" s="2" t="s">
        <v>45</v>
      </c>
      <c r="W168" s="2">
        <v>1</v>
      </c>
      <c r="X168" s="2">
        <v>1</v>
      </c>
      <c r="Y168" s="2">
        <v>1</v>
      </c>
      <c r="Z168" s="2">
        <v>0</v>
      </c>
      <c r="AA168" s="2">
        <v>1</v>
      </c>
      <c r="AB168" s="2"/>
      <c r="AC168" s="2">
        <v>0</v>
      </c>
      <c r="AD168" s="3">
        <v>45276</v>
      </c>
      <c r="AE168" s="2" t="s">
        <v>46</v>
      </c>
      <c r="AF168" s="2">
        <v>0</v>
      </c>
      <c r="AG168" s="2">
        <v>0</v>
      </c>
      <c r="AH168" s="2" t="s">
        <v>324</v>
      </c>
      <c r="AI168" s="2" t="s">
        <v>43</v>
      </c>
      <c r="AJ168" s="2">
        <v>0</v>
      </c>
      <c r="AK168" s="2">
        <v>14</v>
      </c>
      <c r="AL168" s="2"/>
      <c r="AM168" s="2">
        <v>0</v>
      </c>
      <c r="AN168" s="2">
        <v>0</v>
      </c>
      <c r="AO168" s="2"/>
      <c r="AP168" s="2"/>
      <c r="AQ168" s="2" t="s">
        <v>48</v>
      </c>
      <c r="AR168" s="2" t="s">
        <v>1445</v>
      </c>
      <c r="AS168" s="2" t="s">
        <v>971</v>
      </c>
      <c r="AT168" s="2" t="s">
        <v>972</v>
      </c>
      <c r="AU168" s="2" t="s">
        <v>1444</v>
      </c>
      <c r="AV168" s="2" t="s">
        <v>1420</v>
      </c>
      <c r="AW168" s="2">
        <v>4.3719600363</v>
      </c>
      <c r="AX168" s="2">
        <v>50.861099888399998</v>
      </c>
    </row>
    <row r="169" spans="2:50" x14ac:dyDescent="0.25">
      <c r="B169" s="2">
        <v>351</v>
      </c>
      <c r="C169" s="2">
        <v>2133375</v>
      </c>
      <c r="D169" s="2" t="s">
        <v>820</v>
      </c>
      <c r="E169" s="2">
        <v>0</v>
      </c>
      <c r="F169" s="2">
        <v>0</v>
      </c>
      <c r="G169" s="2">
        <v>0</v>
      </c>
      <c r="H169" s="2">
        <v>30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f>SUM(parking_data_1030[[#This Row],[Résidenti]:[Autres]])</f>
        <v>30</v>
      </c>
      <c r="R169" s="2">
        <v>12</v>
      </c>
      <c r="S169" s="2">
        <v>12</v>
      </c>
      <c r="T169" s="2" t="s">
        <v>79</v>
      </c>
      <c r="U169" s="2" t="s">
        <v>76</v>
      </c>
      <c r="V169" s="2" t="s">
        <v>59</v>
      </c>
      <c r="W169" s="2">
        <v>0</v>
      </c>
      <c r="X169" s="2">
        <v>1</v>
      </c>
      <c r="Y169" s="2">
        <v>0</v>
      </c>
      <c r="Z169" s="2">
        <v>0</v>
      </c>
      <c r="AA169" s="2">
        <v>1</v>
      </c>
      <c r="AB169" s="2"/>
      <c r="AC169" s="2">
        <v>0</v>
      </c>
      <c r="AD169" s="2"/>
      <c r="AE169" s="2" t="s">
        <v>46</v>
      </c>
      <c r="AF169" s="2">
        <v>6540</v>
      </c>
      <c r="AG169" s="2">
        <v>66</v>
      </c>
      <c r="AH169" s="2" t="s">
        <v>821</v>
      </c>
      <c r="AI169" s="2" t="s">
        <v>43</v>
      </c>
      <c r="AJ169" s="2">
        <v>36</v>
      </c>
      <c r="AK169" s="2">
        <v>30</v>
      </c>
      <c r="AL169" s="2"/>
      <c r="AM169" s="2">
        <v>0</v>
      </c>
      <c r="AN169" s="2">
        <v>0</v>
      </c>
      <c r="AO169" s="2"/>
      <c r="AP169" s="2"/>
      <c r="AQ169" s="2" t="s">
        <v>48</v>
      </c>
      <c r="AR169" s="2" t="s">
        <v>1590</v>
      </c>
      <c r="AS169" s="2" t="s">
        <v>971</v>
      </c>
      <c r="AT169" s="2" t="s">
        <v>972</v>
      </c>
      <c r="AU169" s="2" t="s">
        <v>1591</v>
      </c>
      <c r="AV169" s="2" t="s">
        <v>1420</v>
      </c>
      <c r="AW169" s="2">
        <v>4.3724125973000003</v>
      </c>
      <c r="AX169" s="2">
        <v>50.861849103200001</v>
      </c>
    </row>
    <row r="170" spans="2:50" x14ac:dyDescent="0.25">
      <c r="B170" s="2">
        <v>362</v>
      </c>
      <c r="C170" s="2">
        <v>2133047</v>
      </c>
      <c r="D170" s="2" t="s">
        <v>406</v>
      </c>
      <c r="E170" s="2">
        <v>0</v>
      </c>
      <c r="F170" s="2">
        <v>0</v>
      </c>
      <c r="G170" s="2">
        <v>0</v>
      </c>
      <c r="H170" s="2">
        <v>0</v>
      </c>
      <c r="I170" s="2">
        <v>4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10</v>
      </c>
      <c r="P170" s="2">
        <v>0</v>
      </c>
      <c r="Q170" s="2">
        <f>SUM(parking_data_1030[[#This Row],[Résidenti]:[Autres]])</f>
        <v>14</v>
      </c>
      <c r="R170" s="2">
        <v>14</v>
      </c>
      <c r="S170" s="2">
        <v>0</v>
      </c>
      <c r="T170" s="2" t="s">
        <v>43</v>
      </c>
      <c r="U170" s="2" t="s">
        <v>44</v>
      </c>
      <c r="V170" s="2" t="s">
        <v>45</v>
      </c>
      <c r="W170" s="2">
        <v>1</v>
      </c>
      <c r="X170" s="2">
        <v>1</v>
      </c>
      <c r="Y170" s="2">
        <v>1</v>
      </c>
      <c r="Z170" s="2">
        <v>0</v>
      </c>
      <c r="AA170" s="2">
        <v>1</v>
      </c>
      <c r="AB170" s="2"/>
      <c r="AC170" s="2">
        <v>0</v>
      </c>
      <c r="AD170" s="2"/>
      <c r="AE170" s="2" t="s">
        <v>46</v>
      </c>
      <c r="AF170" s="2">
        <v>0</v>
      </c>
      <c r="AG170" s="2">
        <v>0</v>
      </c>
      <c r="AH170" s="2" t="s">
        <v>407</v>
      </c>
      <c r="AI170" s="2" t="s">
        <v>43</v>
      </c>
      <c r="AJ170" s="2">
        <v>0</v>
      </c>
      <c r="AK170" s="2">
        <v>14</v>
      </c>
      <c r="AL170" s="2"/>
      <c r="AM170" s="2">
        <v>0</v>
      </c>
      <c r="AN170" s="2">
        <v>0</v>
      </c>
      <c r="AO170" s="2"/>
      <c r="AP170" s="2"/>
      <c r="AQ170" s="2" t="s">
        <v>48</v>
      </c>
      <c r="AR170" s="2" t="s">
        <v>1459</v>
      </c>
      <c r="AS170" s="2" t="s">
        <v>971</v>
      </c>
      <c r="AT170" s="2" t="s">
        <v>972</v>
      </c>
      <c r="AU170" s="2" t="s">
        <v>1458</v>
      </c>
      <c r="AV170" s="2" t="s">
        <v>897</v>
      </c>
      <c r="AW170" s="2">
        <v>4.3696955505000004</v>
      </c>
      <c r="AX170" s="2">
        <v>50.857730777800001</v>
      </c>
    </row>
    <row r="171" spans="2:50" x14ac:dyDescent="0.25">
      <c r="B171" s="2">
        <v>389</v>
      </c>
      <c r="C171" s="2">
        <v>2161043</v>
      </c>
      <c r="D171" s="2" t="s">
        <v>614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56</v>
      </c>
      <c r="N171" s="2">
        <v>0</v>
      </c>
      <c r="O171" s="2">
        <v>0</v>
      </c>
      <c r="P171" s="2">
        <v>0</v>
      </c>
      <c r="Q171" s="2">
        <f>SUM(parking_data_1030[[#This Row],[Résidenti]:[Autres]])</f>
        <v>56</v>
      </c>
      <c r="R171" s="2">
        <v>0</v>
      </c>
      <c r="S171" s="2">
        <v>0</v>
      </c>
      <c r="T171" s="2" t="s">
        <v>43</v>
      </c>
      <c r="U171" s="2" t="s">
        <v>58</v>
      </c>
      <c r="V171" s="2" t="s">
        <v>59</v>
      </c>
      <c r="W171" s="2">
        <v>1</v>
      </c>
      <c r="X171" s="2">
        <v>1</v>
      </c>
      <c r="Y171" s="2">
        <v>0</v>
      </c>
      <c r="Z171" s="2">
        <v>0</v>
      </c>
      <c r="AA171" s="2">
        <v>0</v>
      </c>
      <c r="AB171" s="2"/>
      <c r="AC171" s="2">
        <v>0</v>
      </c>
      <c r="AD171" s="3">
        <v>47341</v>
      </c>
      <c r="AE171" s="2" t="s">
        <v>46</v>
      </c>
      <c r="AF171" s="2">
        <v>0</v>
      </c>
      <c r="AG171" s="2">
        <v>0</v>
      </c>
      <c r="AH171" s="2" t="s">
        <v>615</v>
      </c>
      <c r="AI171" s="2" t="s">
        <v>43</v>
      </c>
      <c r="AJ171" s="2">
        <v>0</v>
      </c>
      <c r="AK171" s="2">
        <v>56</v>
      </c>
      <c r="AL171" s="2" t="s">
        <v>616</v>
      </c>
      <c r="AM171" s="2">
        <v>0</v>
      </c>
      <c r="AN171" s="2">
        <v>0</v>
      </c>
      <c r="AO171" s="2"/>
      <c r="AP171" s="2"/>
      <c r="AQ171" s="2" t="s">
        <v>48</v>
      </c>
      <c r="AR171" s="2" t="s">
        <v>1500</v>
      </c>
      <c r="AS171" s="2" t="s">
        <v>971</v>
      </c>
      <c r="AT171" s="2" t="s">
        <v>972</v>
      </c>
      <c r="AU171" s="2" t="s">
        <v>1501</v>
      </c>
      <c r="AV171" s="2" t="s">
        <v>1170</v>
      </c>
      <c r="AW171" s="2">
        <v>4.3737011627999998</v>
      </c>
      <c r="AX171" s="2">
        <v>50.865385889000002</v>
      </c>
    </row>
    <row r="172" spans="2:50" x14ac:dyDescent="0.25">
      <c r="B172" s="2">
        <v>401</v>
      </c>
      <c r="C172" s="2">
        <v>2170092</v>
      </c>
      <c r="D172" s="2" t="s">
        <v>607</v>
      </c>
      <c r="E172" s="2">
        <v>20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f>SUM(parking_data_1030[[#This Row],[Résidenti]:[Autres]])</f>
        <v>20</v>
      </c>
      <c r="R172" s="2">
        <v>0</v>
      </c>
      <c r="S172" s="2">
        <v>0</v>
      </c>
      <c r="T172" s="2" t="s">
        <v>43</v>
      </c>
      <c r="U172" s="2" t="s">
        <v>54</v>
      </c>
      <c r="V172" s="2" t="s">
        <v>45</v>
      </c>
      <c r="W172" s="2">
        <v>0</v>
      </c>
      <c r="X172" s="2">
        <v>1</v>
      </c>
      <c r="Y172" s="2">
        <v>0</v>
      </c>
      <c r="Z172" s="2">
        <v>1</v>
      </c>
      <c r="AA172" s="2">
        <v>0</v>
      </c>
      <c r="AB172" s="2"/>
      <c r="AC172" s="2">
        <v>0</v>
      </c>
      <c r="AD172" s="2"/>
      <c r="AE172" s="2" t="s">
        <v>46</v>
      </c>
      <c r="AF172" s="2">
        <v>0</v>
      </c>
      <c r="AG172" s="2">
        <v>0</v>
      </c>
      <c r="AH172" s="2" t="s">
        <v>55</v>
      </c>
      <c r="AI172" s="2" t="s">
        <v>43</v>
      </c>
      <c r="AJ172" s="2">
        <v>0</v>
      </c>
      <c r="AK172" s="2">
        <v>0</v>
      </c>
      <c r="AL172" s="2"/>
      <c r="AM172" s="2">
        <v>0</v>
      </c>
      <c r="AN172" s="2">
        <v>0</v>
      </c>
      <c r="AO172" s="2"/>
      <c r="AP172" s="2"/>
      <c r="AQ172" s="2" t="s">
        <v>48</v>
      </c>
      <c r="AR172" s="2" t="s">
        <v>1523</v>
      </c>
      <c r="AS172" s="2" t="s">
        <v>971</v>
      </c>
      <c r="AT172" s="2" t="s">
        <v>972</v>
      </c>
      <c r="AU172" s="2" t="s">
        <v>1522</v>
      </c>
      <c r="AV172" s="2" t="s">
        <v>1063</v>
      </c>
      <c r="AW172" s="2">
        <v>4.3787987562000001</v>
      </c>
      <c r="AX172" s="2">
        <v>50.867538977099997</v>
      </c>
    </row>
    <row r="173" spans="2:50" x14ac:dyDescent="0.25">
      <c r="B173" s="2">
        <v>447</v>
      </c>
      <c r="C173" s="2">
        <v>2177089</v>
      </c>
      <c r="D173" s="2" t="s">
        <v>631</v>
      </c>
      <c r="E173" s="2">
        <v>39</v>
      </c>
      <c r="F173" s="2">
        <v>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f>SUM(parking_data_1030[[#This Row],[Résidenti]:[Autres]])</f>
        <v>39</v>
      </c>
      <c r="R173" s="2">
        <v>0</v>
      </c>
      <c r="S173" s="2">
        <v>0</v>
      </c>
      <c r="T173" s="2" t="s">
        <v>43</v>
      </c>
      <c r="U173" s="2" t="s">
        <v>115</v>
      </c>
      <c r="V173" s="2" t="s">
        <v>59</v>
      </c>
      <c r="W173" s="2">
        <v>0</v>
      </c>
      <c r="X173" s="2">
        <v>1</v>
      </c>
      <c r="Y173" s="2">
        <v>0</v>
      </c>
      <c r="Z173" s="2">
        <v>1</v>
      </c>
      <c r="AA173" s="2">
        <v>0</v>
      </c>
      <c r="AB173" s="2"/>
      <c r="AC173" s="2">
        <v>0</v>
      </c>
      <c r="AD173" s="2"/>
      <c r="AE173" s="2" t="s">
        <v>106</v>
      </c>
      <c r="AF173" s="2">
        <v>0</v>
      </c>
      <c r="AG173" s="2">
        <v>0</v>
      </c>
      <c r="AH173" s="2" t="s">
        <v>55</v>
      </c>
      <c r="AI173" s="2" t="s">
        <v>43</v>
      </c>
      <c r="AJ173" s="2">
        <v>0</v>
      </c>
      <c r="AK173" s="2">
        <v>0</v>
      </c>
      <c r="AL173" s="2"/>
      <c r="AM173" s="2">
        <v>0</v>
      </c>
      <c r="AN173" s="2">
        <v>0</v>
      </c>
      <c r="AO173" s="2"/>
      <c r="AP173" s="2"/>
      <c r="AQ173" s="2" t="s">
        <v>48</v>
      </c>
      <c r="AR173" s="2" t="s">
        <v>1570</v>
      </c>
      <c r="AS173" s="2" t="s">
        <v>971</v>
      </c>
      <c r="AT173" s="2" t="s">
        <v>972</v>
      </c>
      <c r="AU173" s="2" t="s">
        <v>1571</v>
      </c>
      <c r="AV173" s="2" t="s">
        <v>1000</v>
      </c>
      <c r="AW173" s="2">
        <v>4.3924347344000001</v>
      </c>
      <c r="AX173" s="2">
        <v>50.870784558700002</v>
      </c>
    </row>
    <row r="174" spans="2:50" x14ac:dyDescent="0.25">
      <c r="B174" s="2">
        <v>458</v>
      </c>
      <c r="C174" s="2">
        <v>11137452</v>
      </c>
      <c r="D174" s="2" t="s">
        <v>567</v>
      </c>
      <c r="E174" s="2">
        <v>0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f>SUM(parking_data_1030[[#This Row],[Résidenti]:[Autres]])</f>
        <v>0</v>
      </c>
      <c r="R174" s="2">
        <v>0</v>
      </c>
      <c r="S174" s="2">
        <v>0</v>
      </c>
      <c r="T174" s="2" t="s">
        <v>43</v>
      </c>
      <c r="U174" s="2" t="s">
        <v>44</v>
      </c>
      <c r="V174" s="2" t="s">
        <v>45</v>
      </c>
      <c r="W174" s="2">
        <v>0</v>
      </c>
      <c r="X174" s="2">
        <v>0</v>
      </c>
      <c r="Y174" s="2">
        <v>0</v>
      </c>
      <c r="Z174" s="2">
        <v>1</v>
      </c>
      <c r="AA174" s="2">
        <v>0</v>
      </c>
      <c r="AB174" s="2" t="s">
        <v>191</v>
      </c>
      <c r="AC174" s="2">
        <v>0</v>
      </c>
      <c r="AD174" s="2"/>
      <c r="AE174" s="2" t="s">
        <v>106</v>
      </c>
      <c r="AF174" s="2">
        <v>0</v>
      </c>
      <c r="AG174" s="2">
        <v>0</v>
      </c>
      <c r="AH174" s="2" t="s">
        <v>192</v>
      </c>
      <c r="AI174" s="2" t="s">
        <v>79</v>
      </c>
      <c r="AJ174" s="2">
        <v>0</v>
      </c>
      <c r="AK174" s="2">
        <v>0</v>
      </c>
      <c r="AL174" s="2"/>
      <c r="AM174" s="2">
        <v>0</v>
      </c>
      <c r="AN174" s="2">
        <v>0</v>
      </c>
      <c r="AO174" s="2"/>
      <c r="AP174" s="2"/>
      <c r="AQ174" s="2" t="s">
        <v>48</v>
      </c>
      <c r="AR174" s="12" t="s">
        <v>1596</v>
      </c>
      <c r="AS174" s="2" t="s">
        <v>971</v>
      </c>
      <c r="AT174" s="2" t="s">
        <v>972</v>
      </c>
      <c r="AU174" s="2" t="s">
        <v>973</v>
      </c>
      <c r="AV174" s="2" t="s">
        <v>835</v>
      </c>
      <c r="AW174" s="2">
        <v>4.3924878683999999</v>
      </c>
      <c r="AX174" s="2">
        <v>50.871056348000003</v>
      </c>
    </row>
    <row r="175" spans="2:50" x14ac:dyDescent="0.25">
      <c r="B175" s="2">
        <v>460</v>
      </c>
      <c r="C175" s="2">
        <v>2132405</v>
      </c>
      <c r="D175" s="2" t="s">
        <v>569</v>
      </c>
      <c r="E175" s="2">
        <v>5</v>
      </c>
      <c r="F175" s="2">
        <v>0</v>
      </c>
      <c r="G175" s="2">
        <v>0</v>
      </c>
      <c r="H175" s="2">
        <v>5</v>
      </c>
      <c r="I175" s="2">
        <v>7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f>SUM(parking_data_1030[[#This Row],[Résidenti]:[Autres]])</f>
        <v>17</v>
      </c>
      <c r="R175" s="2">
        <v>0</v>
      </c>
      <c r="S175" s="2">
        <v>0</v>
      </c>
      <c r="T175" s="2" t="s">
        <v>43</v>
      </c>
      <c r="U175" s="2" t="s">
        <v>64</v>
      </c>
      <c r="V175" s="2" t="s">
        <v>45</v>
      </c>
      <c r="W175" s="2">
        <v>1</v>
      </c>
      <c r="X175" s="2">
        <v>0</v>
      </c>
      <c r="Y175" s="2">
        <v>0</v>
      </c>
      <c r="Z175" s="2">
        <v>0</v>
      </c>
      <c r="AA175" s="2">
        <v>0</v>
      </c>
      <c r="AB175" s="2"/>
      <c r="AC175" s="2">
        <v>0</v>
      </c>
      <c r="AD175" s="2"/>
      <c r="AE175" s="2" t="s">
        <v>46</v>
      </c>
      <c r="AF175" s="2">
        <v>910</v>
      </c>
      <c r="AG175" s="2">
        <v>10</v>
      </c>
      <c r="AH175" s="2" t="s">
        <v>570</v>
      </c>
      <c r="AI175" s="2" t="s">
        <v>43</v>
      </c>
      <c r="AJ175" s="2">
        <v>5</v>
      </c>
      <c r="AK175" s="2">
        <v>12</v>
      </c>
      <c r="AL175" s="2"/>
      <c r="AM175" s="2">
        <v>0</v>
      </c>
      <c r="AN175" s="2">
        <v>0</v>
      </c>
      <c r="AO175" s="2"/>
      <c r="AP175" s="2"/>
      <c r="AQ175" s="2" t="s">
        <v>48</v>
      </c>
      <c r="AR175" s="2" t="s">
        <v>1446</v>
      </c>
      <c r="AS175" s="2" t="s">
        <v>971</v>
      </c>
      <c r="AT175" s="2" t="s">
        <v>972</v>
      </c>
      <c r="AU175" s="2" t="s">
        <v>984</v>
      </c>
      <c r="AV175" s="2" t="s">
        <v>835</v>
      </c>
      <c r="AW175" s="2">
        <v>4.3897783509000003</v>
      </c>
      <c r="AX175" s="2">
        <v>50.870430526299998</v>
      </c>
    </row>
    <row r="176" spans="2:50" x14ac:dyDescent="0.25">
      <c r="B176" s="2">
        <v>461</v>
      </c>
      <c r="C176" s="2">
        <v>2179802</v>
      </c>
      <c r="D176" s="2" t="s">
        <v>538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10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f>SUM(parking_data_1030[[#This Row],[Résidenti]:[Autres]])</f>
        <v>10</v>
      </c>
      <c r="R176" s="2">
        <v>0</v>
      </c>
      <c r="S176" s="2">
        <v>0</v>
      </c>
      <c r="T176" s="2" t="s">
        <v>43</v>
      </c>
      <c r="U176" s="2" t="s">
        <v>64</v>
      </c>
      <c r="V176" s="2" t="s">
        <v>45</v>
      </c>
      <c r="W176" s="2">
        <v>1</v>
      </c>
      <c r="X176" s="2">
        <v>0</v>
      </c>
      <c r="Y176" s="2">
        <v>0</v>
      </c>
      <c r="Z176" s="2">
        <v>1</v>
      </c>
      <c r="AA176" s="2">
        <v>0</v>
      </c>
      <c r="AB176" s="2"/>
      <c r="AC176" s="2">
        <v>0</v>
      </c>
      <c r="AD176" s="2"/>
      <c r="AE176" s="2" t="s">
        <v>106</v>
      </c>
      <c r="AF176" s="2">
        <v>0</v>
      </c>
      <c r="AG176" s="2">
        <v>0</v>
      </c>
      <c r="AH176" s="2" t="s">
        <v>539</v>
      </c>
      <c r="AI176" s="2" t="s">
        <v>43</v>
      </c>
      <c r="AJ176" s="2">
        <v>0</v>
      </c>
      <c r="AK176" s="2">
        <v>10</v>
      </c>
      <c r="AL176" s="2"/>
      <c r="AM176" s="2">
        <v>0</v>
      </c>
      <c r="AN176" s="2">
        <v>0</v>
      </c>
      <c r="AO176" s="2"/>
      <c r="AP176" s="2"/>
      <c r="AQ176" s="2" t="s">
        <v>48</v>
      </c>
      <c r="AR176" s="2" t="s">
        <v>1582</v>
      </c>
      <c r="AS176" s="2" t="s">
        <v>971</v>
      </c>
      <c r="AT176" s="2" t="s">
        <v>972</v>
      </c>
      <c r="AU176" s="2" t="s">
        <v>984</v>
      </c>
      <c r="AV176" s="2" t="s">
        <v>835</v>
      </c>
      <c r="AW176" s="2">
        <v>4.3904528991999996</v>
      </c>
      <c r="AX176" s="2">
        <v>50.870477614499997</v>
      </c>
    </row>
    <row r="177" spans="2:50" x14ac:dyDescent="0.25">
      <c r="B177" s="2">
        <v>39</v>
      </c>
      <c r="C177" s="2">
        <v>3000069</v>
      </c>
      <c r="D177" s="2" t="s">
        <v>142</v>
      </c>
      <c r="E177" s="2">
        <v>10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f>SUM(parking_data_1030[[#This Row],[Résidenti]:[Autres]])</f>
        <v>10</v>
      </c>
      <c r="R177" s="2">
        <v>0</v>
      </c>
      <c r="S177" s="2">
        <v>0</v>
      </c>
      <c r="T177" s="2" t="s">
        <v>43</v>
      </c>
      <c r="U177" s="2" t="s">
        <v>44</v>
      </c>
      <c r="V177" s="2" t="s">
        <v>45</v>
      </c>
      <c r="W177" s="2">
        <v>1</v>
      </c>
      <c r="X177" s="2">
        <v>0</v>
      </c>
      <c r="Y177" s="2">
        <v>0</v>
      </c>
      <c r="Z177" s="2">
        <v>0</v>
      </c>
      <c r="AA177" s="2">
        <v>0</v>
      </c>
      <c r="AB177" s="2"/>
      <c r="AC177" s="2">
        <v>0</v>
      </c>
      <c r="AD177" s="2"/>
      <c r="AE177" s="2" t="s">
        <v>46</v>
      </c>
      <c r="AF177" s="2">
        <v>0</v>
      </c>
      <c r="AG177" s="2">
        <v>0</v>
      </c>
      <c r="AH177" s="2"/>
      <c r="AI177" s="2" t="s">
        <v>43</v>
      </c>
      <c r="AJ177" s="2">
        <v>0</v>
      </c>
      <c r="AK177" s="2">
        <v>0</v>
      </c>
      <c r="AL177" s="2"/>
      <c r="AM177" s="2">
        <v>0</v>
      </c>
      <c r="AN177" s="2">
        <v>0</v>
      </c>
      <c r="AO177" s="2"/>
      <c r="AP177" s="2"/>
      <c r="AQ177" s="2" t="s">
        <v>48</v>
      </c>
      <c r="AR177" s="2" t="s">
        <v>934</v>
      </c>
      <c r="AS177" s="2" t="s">
        <v>935</v>
      </c>
      <c r="AT177" s="2" t="s">
        <v>936</v>
      </c>
      <c r="AU177" s="2" t="s">
        <v>937</v>
      </c>
      <c r="AV177" s="2" t="s">
        <v>835</v>
      </c>
      <c r="AW177" s="2">
        <v>4.3878749799000003</v>
      </c>
      <c r="AX177" s="2">
        <v>50.875057644400002</v>
      </c>
    </row>
    <row r="178" spans="2:50" x14ac:dyDescent="0.25">
      <c r="B178" s="2">
        <v>35</v>
      </c>
      <c r="C178" s="2">
        <v>2174725</v>
      </c>
      <c r="D178" s="2" t="s">
        <v>133</v>
      </c>
      <c r="E178" s="2">
        <v>0</v>
      </c>
      <c r="F178" s="2">
        <v>0</v>
      </c>
      <c r="G178" s="2">
        <v>0</v>
      </c>
      <c r="H178" s="2">
        <v>0</v>
      </c>
      <c r="I178" s="2">
        <v>24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f>SUM(parking_data_1030[[#This Row],[Résidenti]:[Autres]])</f>
        <v>24</v>
      </c>
      <c r="R178" s="2">
        <v>0</v>
      </c>
      <c r="S178" s="2">
        <v>0</v>
      </c>
      <c r="T178" s="2" t="s">
        <v>43</v>
      </c>
      <c r="U178" s="2" t="s">
        <v>44</v>
      </c>
      <c r="V178" s="2" t="s">
        <v>45</v>
      </c>
      <c r="W178" s="2">
        <v>0</v>
      </c>
      <c r="X178" s="2">
        <v>1</v>
      </c>
      <c r="Y178" s="2">
        <v>1</v>
      </c>
      <c r="Z178" s="2">
        <v>0</v>
      </c>
      <c r="AA178" s="2">
        <v>0</v>
      </c>
      <c r="AB178" s="2"/>
      <c r="AC178" s="2">
        <v>0</v>
      </c>
      <c r="AD178" s="3">
        <v>45202</v>
      </c>
      <c r="AE178" s="2" t="s">
        <v>46</v>
      </c>
      <c r="AF178" s="2">
        <v>0</v>
      </c>
      <c r="AG178" s="2">
        <v>0</v>
      </c>
      <c r="AH178" s="2" t="s">
        <v>134</v>
      </c>
      <c r="AI178" s="2" t="s">
        <v>43</v>
      </c>
      <c r="AJ178" s="2">
        <v>0</v>
      </c>
      <c r="AK178" s="2">
        <v>24</v>
      </c>
      <c r="AL178" s="2"/>
      <c r="AM178" s="2">
        <v>3</v>
      </c>
      <c r="AN178" s="2">
        <v>1</v>
      </c>
      <c r="AO178" s="2" t="s">
        <v>135</v>
      </c>
      <c r="AP178" s="2" t="s">
        <v>136</v>
      </c>
      <c r="AQ178" s="2" t="s">
        <v>70</v>
      </c>
      <c r="AR178" s="2" t="s">
        <v>926</v>
      </c>
      <c r="AS178" s="2" t="s">
        <v>927</v>
      </c>
      <c r="AT178" s="2" t="s">
        <v>928</v>
      </c>
      <c r="AU178" s="2" t="s">
        <v>923</v>
      </c>
      <c r="AV178" s="2" t="s">
        <v>835</v>
      </c>
      <c r="AW178" s="2">
        <v>4.3846629206000003</v>
      </c>
      <c r="AX178" s="2">
        <v>50.872417693800003</v>
      </c>
    </row>
    <row r="179" spans="2:50" x14ac:dyDescent="0.25">
      <c r="B179" s="2">
        <v>36</v>
      </c>
      <c r="C179" s="2">
        <v>2174785</v>
      </c>
      <c r="D179" s="2" t="s">
        <v>137</v>
      </c>
      <c r="E179" s="2">
        <v>16</v>
      </c>
      <c r="F179" s="2">
        <v>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f>SUM(parking_data_1030[[#This Row],[Résidenti]:[Autres]])</f>
        <v>16</v>
      </c>
      <c r="R179" s="2">
        <v>0</v>
      </c>
      <c r="S179" s="2">
        <v>0</v>
      </c>
      <c r="T179" s="2" t="s">
        <v>43</v>
      </c>
      <c r="U179" s="2" t="s">
        <v>54</v>
      </c>
      <c r="V179" s="2" t="s">
        <v>45</v>
      </c>
      <c r="W179" s="2">
        <v>0</v>
      </c>
      <c r="X179" s="2">
        <v>1</v>
      </c>
      <c r="Y179" s="2">
        <v>0</v>
      </c>
      <c r="Z179" s="2">
        <v>1</v>
      </c>
      <c r="AA179" s="2">
        <v>0</v>
      </c>
      <c r="AB179" s="2"/>
      <c r="AC179" s="2">
        <v>0</v>
      </c>
      <c r="AD179" s="2"/>
      <c r="AE179" s="2" t="s">
        <v>46</v>
      </c>
      <c r="AF179" s="2">
        <v>0</v>
      </c>
      <c r="AG179" s="2">
        <v>0</v>
      </c>
      <c r="AH179" s="2" t="s">
        <v>55</v>
      </c>
      <c r="AI179" s="2" t="s">
        <v>43</v>
      </c>
      <c r="AJ179" s="2">
        <v>0</v>
      </c>
      <c r="AK179" s="2">
        <v>0</v>
      </c>
      <c r="AL179" s="2"/>
      <c r="AM179" s="2">
        <v>0</v>
      </c>
      <c r="AN179" s="2">
        <v>0</v>
      </c>
      <c r="AO179" s="2"/>
      <c r="AP179" s="2"/>
      <c r="AQ179" s="2" t="s">
        <v>48</v>
      </c>
      <c r="AR179" s="2" t="s">
        <v>929</v>
      </c>
      <c r="AS179" s="2" t="s">
        <v>927</v>
      </c>
      <c r="AT179" s="2" t="s">
        <v>928</v>
      </c>
      <c r="AU179" s="2" t="s">
        <v>923</v>
      </c>
      <c r="AV179" s="2" t="s">
        <v>835</v>
      </c>
      <c r="AW179" s="2">
        <v>4.3856105037999997</v>
      </c>
      <c r="AX179" s="2">
        <v>50.872491823099999</v>
      </c>
    </row>
    <row r="180" spans="2:50" x14ac:dyDescent="0.25">
      <c r="B180" s="2">
        <v>37</v>
      </c>
      <c r="C180" s="2">
        <v>2174771</v>
      </c>
      <c r="D180" s="2" t="s">
        <v>138</v>
      </c>
      <c r="E180" s="2">
        <v>0</v>
      </c>
      <c r="F180" s="2">
        <v>0</v>
      </c>
      <c r="G180" s="2">
        <v>0</v>
      </c>
      <c r="H180" s="2">
        <v>10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f>SUM(parking_data_1030[[#This Row],[Résidenti]:[Autres]])</f>
        <v>10</v>
      </c>
      <c r="R180" s="2">
        <v>0</v>
      </c>
      <c r="S180" s="2">
        <v>0</v>
      </c>
      <c r="T180" s="2" t="s">
        <v>43</v>
      </c>
      <c r="U180" s="2" t="s">
        <v>115</v>
      </c>
      <c r="V180" s="2" t="s">
        <v>45</v>
      </c>
      <c r="W180" s="2">
        <v>1</v>
      </c>
      <c r="X180" s="2">
        <v>1</v>
      </c>
      <c r="Y180" s="2">
        <v>1</v>
      </c>
      <c r="Z180" s="2">
        <v>0</v>
      </c>
      <c r="AA180" s="2">
        <v>1</v>
      </c>
      <c r="AB180" s="2"/>
      <c r="AC180" s="2">
        <v>0</v>
      </c>
      <c r="AD180" s="2"/>
      <c r="AE180" s="2" t="s">
        <v>46</v>
      </c>
      <c r="AF180" s="2">
        <v>0</v>
      </c>
      <c r="AG180" s="2">
        <v>0</v>
      </c>
      <c r="AH180" s="2" t="s">
        <v>139</v>
      </c>
      <c r="AI180" s="2" t="s">
        <v>43</v>
      </c>
      <c r="AJ180" s="2">
        <v>0</v>
      </c>
      <c r="AK180" s="2">
        <v>10</v>
      </c>
      <c r="AL180" s="2"/>
      <c r="AM180" s="2">
        <v>0</v>
      </c>
      <c r="AN180" s="2">
        <v>0</v>
      </c>
      <c r="AO180" s="2"/>
      <c r="AP180" s="2"/>
      <c r="AQ180" s="2" t="s">
        <v>48</v>
      </c>
      <c r="AR180" s="2" t="s">
        <v>930</v>
      </c>
      <c r="AS180" s="2" t="s">
        <v>927</v>
      </c>
      <c r="AT180" s="2" t="s">
        <v>928</v>
      </c>
      <c r="AU180" s="2" t="s">
        <v>923</v>
      </c>
      <c r="AV180" s="2" t="s">
        <v>835</v>
      </c>
      <c r="AW180" s="2">
        <v>4.3860284487000003</v>
      </c>
      <c r="AX180" s="2">
        <v>50.872787836500002</v>
      </c>
    </row>
    <row r="181" spans="2:50" x14ac:dyDescent="0.25">
      <c r="B181" s="2">
        <v>55</v>
      </c>
      <c r="C181" s="2">
        <v>2174399</v>
      </c>
      <c r="D181" s="2" t="s">
        <v>114</v>
      </c>
      <c r="E181" s="2">
        <v>17</v>
      </c>
      <c r="F181" s="2">
        <v>0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f>SUM(parking_data_1030[[#This Row],[Résidenti]:[Autres]])</f>
        <v>17</v>
      </c>
      <c r="R181" s="2">
        <v>0</v>
      </c>
      <c r="S181" s="2">
        <v>0</v>
      </c>
      <c r="T181" s="2" t="s">
        <v>43</v>
      </c>
      <c r="U181" s="2" t="s">
        <v>115</v>
      </c>
      <c r="V181" s="2" t="s">
        <v>45</v>
      </c>
      <c r="W181" s="2">
        <v>1</v>
      </c>
      <c r="X181" s="2">
        <v>1</v>
      </c>
      <c r="Y181" s="2">
        <v>0</v>
      </c>
      <c r="Z181" s="2">
        <v>0</v>
      </c>
      <c r="AA181" s="2">
        <v>1</v>
      </c>
      <c r="AB181" s="2"/>
      <c r="AC181" s="2">
        <v>0</v>
      </c>
      <c r="AD181" s="2"/>
      <c r="AE181" s="2" t="s">
        <v>46</v>
      </c>
      <c r="AF181" s="2">
        <v>0</v>
      </c>
      <c r="AG181" s="2">
        <v>0</v>
      </c>
      <c r="AH181" s="2" t="s">
        <v>116</v>
      </c>
      <c r="AI181" s="2" t="s">
        <v>43</v>
      </c>
      <c r="AJ181" s="2">
        <v>0</v>
      </c>
      <c r="AK181" s="2">
        <v>0</v>
      </c>
      <c r="AL181" s="2"/>
      <c r="AM181" s="2">
        <v>0</v>
      </c>
      <c r="AN181" s="2">
        <v>0</v>
      </c>
      <c r="AO181" s="2"/>
      <c r="AP181" s="2"/>
      <c r="AQ181" s="2" t="s">
        <v>48</v>
      </c>
      <c r="AR181" s="2" t="s">
        <v>979</v>
      </c>
      <c r="AS181" s="2" t="s">
        <v>927</v>
      </c>
      <c r="AT181" s="2" t="s">
        <v>928</v>
      </c>
      <c r="AU181" s="2" t="s">
        <v>980</v>
      </c>
      <c r="AV181" s="2" t="s">
        <v>835</v>
      </c>
      <c r="AW181" s="2">
        <v>4.3862237229999996</v>
      </c>
      <c r="AX181" s="2">
        <v>50.872483162999998</v>
      </c>
    </row>
    <row r="182" spans="2:50" x14ac:dyDescent="0.25">
      <c r="B182" s="2">
        <v>66</v>
      </c>
      <c r="C182" s="2">
        <v>2174779</v>
      </c>
      <c r="D182" s="2" t="s">
        <v>708</v>
      </c>
      <c r="E182" s="2">
        <v>19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f>SUM(parking_data_1030[[#This Row],[Résidenti]:[Autres]])</f>
        <v>19</v>
      </c>
      <c r="R182" s="2">
        <v>0</v>
      </c>
      <c r="S182" s="2">
        <v>0</v>
      </c>
      <c r="T182" s="2" t="s">
        <v>43</v>
      </c>
      <c r="U182" s="2" t="s">
        <v>54</v>
      </c>
      <c r="V182" s="2" t="s">
        <v>45</v>
      </c>
      <c r="W182" s="2">
        <v>1</v>
      </c>
      <c r="X182" s="2">
        <v>1</v>
      </c>
      <c r="Y182" s="2">
        <v>0</v>
      </c>
      <c r="Z182" s="2">
        <v>0</v>
      </c>
      <c r="AA182" s="2">
        <v>0</v>
      </c>
      <c r="AB182" s="2"/>
      <c r="AC182" s="2">
        <v>0</v>
      </c>
      <c r="AD182" s="2"/>
      <c r="AE182" s="2" t="s">
        <v>46</v>
      </c>
      <c r="AF182" s="2">
        <v>0</v>
      </c>
      <c r="AG182" s="2">
        <v>0</v>
      </c>
      <c r="AH182" s="2"/>
      <c r="AI182" s="2" t="s">
        <v>43</v>
      </c>
      <c r="AJ182" s="2">
        <v>0</v>
      </c>
      <c r="AK182" s="2">
        <v>0</v>
      </c>
      <c r="AL182" s="2"/>
      <c r="AM182" s="2">
        <v>0</v>
      </c>
      <c r="AN182" s="2">
        <v>0</v>
      </c>
      <c r="AO182" s="2"/>
      <c r="AP182" s="2"/>
      <c r="AQ182" s="2" t="s">
        <v>48</v>
      </c>
      <c r="AR182" s="2" t="s">
        <v>997</v>
      </c>
      <c r="AS182" s="2" t="s">
        <v>927</v>
      </c>
      <c r="AT182" s="2" t="s">
        <v>928</v>
      </c>
      <c r="AU182" s="2" t="s">
        <v>923</v>
      </c>
      <c r="AV182" s="2" t="s">
        <v>835</v>
      </c>
      <c r="AW182" s="2">
        <v>4.3858759973000003</v>
      </c>
      <c r="AX182" s="2">
        <v>50.872680803199998</v>
      </c>
    </row>
    <row r="183" spans="2:50" x14ac:dyDescent="0.25">
      <c r="B183" s="2">
        <v>425</v>
      </c>
      <c r="C183" s="2">
        <v>3000235</v>
      </c>
      <c r="D183" s="2" t="s">
        <v>671</v>
      </c>
      <c r="E183" s="2">
        <v>10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f>SUM(parking_data_1030[[#This Row],[Résidenti]:[Autres]])</f>
        <v>10</v>
      </c>
      <c r="R183" s="2">
        <v>0</v>
      </c>
      <c r="S183" s="2">
        <v>0</v>
      </c>
      <c r="T183" s="2" t="s">
        <v>43</v>
      </c>
      <c r="U183" s="2" t="s">
        <v>44</v>
      </c>
      <c r="V183" s="2" t="s">
        <v>45</v>
      </c>
      <c r="W183" s="2">
        <v>0</v>
      </c>
      <c r="X183" s="2">
        <v>1</v>
      </c>
      <c r="Y183" s="2">
        <v>0</v>
      </c>
      <c r="Z183" s="2">
        <v>1</v>
      </c>
      <c r="AA183" s="2">
        <v>0</v>
      </c>
      <c r="AB183" s="2"/>
      <c r="AC183" s="2">
        <v>0</v>
      </c>
      <c r="AD183" s="2"/>
      <c r="AE183" s="2" t="s">
        <v>46</v>
      </c>
      <c r="AF183" s="2">
        <v>0</v>
      </c>
      <c r="AG183" s="2">
        <v>0</v>
      </c>
      <c r="AH183" s="2" t="s">
        <v>55</v>
      </c>
      <c r="AI183" s="2" t="s">
        <v>43</v>
      </c>
      <c r="AJ183" s="2">
        <v>0</v>
      </c>
      <c r="AK183" s="2">
        <v>0</v>
      </c>
      <c r="AL183" s="2"/>
      <c r="AM183" s="2">
        <v>0</v>
      </c>
      <c r="AN183" s="2">
        <v>0</v>
      </c>
      <c r="AO183" s="2"/>
      <c r="AP183" s="2"/>
      <c r="AQ183" s="2" t="s">
        <v>48</v>
      </c>
      <c r="AR183" s="2" t="s">
        <v>1544</v>
      </c>
      <c r="AS183" s="2" t="s">
        <v>927</v>
      </c>
      <c r="AT183" s="2" t="s">
        <v>928</v>
      </c>
      <c r="AU183" s="2" t="s">
        <v>1542</v>
      </c>
      <c r="AV183" s="2" t="s">
        <v>1170</v>
      </c>
      <c r="AW183" s="2">
        <v>4.3822572740999997</v>
      </c>
      <c r="AX183" s="2">
        <v>50.870402372199997</v>
      </c>
    </row>
    <row r="184" spans="2:50" x14ac:dyDescent="0.25">
      <c r="B184" s="2">
        <v>456</v>
      </c>
      <c r="C184" s="2">
        <v>2179373</v>
      </c>
      <c r="D184" s="2" t="s">
        <v>563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f>SUM(parking_data_1030[[#This Row],[Résidenti]:[Autres]])</f>
        <v>0</v>
      </c>
      <c r="R184" s="2">
        <v>0</v>
      </c>
      <c r="S184" s="2">
        <v>0</v>
      </c>
      <c r="T184" s="2" t="s">
        <v>43</v>
      </c>
      <c r="U184" s="2" t="s">
        <v>44</v>
      </c>
      <c r="V184" s="2" t="s">
        <v>45</v>
      </c>
      <c r="W184" s="2">
        <v>0</v>
      </c>
      <c r="X184" s="2">
        <v>0</v>
      </c>
      <c r="Y184" s="2">
        <v>0</v>
      </c>
      <c r="Z184" s="2">
        <v>1</v>
      </c>
      <c r="AA184" s="2">
        <v>0</v>
      </c>
      <c r="AB184" s="2" t="s">
        <v>191</v>
      </c>
      <c r="AC184" s="2">
        <v>0</v>
      </c>
      <c r="AD184" s="2"/>
      <c r="AE184" s="2" t="s">
        <v>46</v>
      </c>
      <c r="AF184" s="2">
        <v>0</v>
      </c>
      <c r="AG184" s="2">
        <v>0</v>
      </c>
      <c r="AH184" s="2" t="s">
        <v>564</v>
      </c>
      <c r="AI184" s="2" t="s">
        <v>79</v>
      </c>
      <c r="AJ184" s="2">
        <v>0</v>
      </c>
      <c r="AK184" s="2">
        <v>0</v>
      </c>
      <c r="AL184" s="2" t="s">
        <v>193</v>
      </c>
      <c r="AM184" s="2">
        <v>0</v>
      </c>
      <c r="AN184" s="2">
        <v>0</v>
      </c>
      <c r="AO184" s="2"/>
      <c r="AP184" s="2"/>
      <c r="AQ184" s="2" t="s">
        <v>48</v>
      </c>
      <c r="AR184" s="2" t="s">
        <v>1577</v>
      </c>
      <c r="AS184" s="2" t="s">
        <v>927</v>
      </c>
      <c r="AT184" s="2" t="s">
        <v>928</v>
      </c>
      <c r="AU184" s="2" t="s">
        <v>1576</v>
      </c>
      <c r="AV184" s="2" t="s">
        <v>835</v>
      </c>
      <c r="AW184" s="2">
        <v>4.3903313575</v>
      </c>
      <c r="AX184" s="2">
        <v>50.875221991899998</v>
      </c>
    </row>
    <row r="185" spans="2:50" x14ac:dyDescent="0.25">
      <c r="B185" s="2">
        <v>122</v>
      </c>
      <c r="C185" s="2">
        <v>2134409</v>
      </c>
      <c r="D185" s="2" t="s">
        <v>719</v>
      </c>
      <c r="E185" s="2">
        <v>28</v>
      </c>
      <c r="F185" s="2">
        <v>0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f>SUM(parking_data_1030[[#This Row],[Résidenti]:[Autres]])</f>
        <v>28</v>
      </c>
      <c r="R185" s="2">
        <v>0</v>
      </c>
      <c r="S185" s="2">
        <v>0</v>
      </c>
      <c r="T185" s="2" t="s">
        <v>43</v>
      </c>
      <c r="U185" s="2" t="s">
        <v>54</v>
      </c>
      <c r="V185" s="2" t="s">
        <v>45</v>
      </c>
      <c r="W185" s="2">
        <v>1</v>
      </c>
      <c r="X185" s="2">
        <v>1</v>
      </c>
      <c r="Y185" s="2">
        <v>0</v>
      </c>
      <c r="Z185" s="2">
        <v>0</v>
      </c>
      <c r="AA185" s="2">
        <v>0</v>
      </c>
      <c r="AB185" s="2"/>
      <c r="AC185" s="2">
        <v>0</v>
      </c>
      <c r="AD185" s="2"/>
      <c r="AE185" s="2" t="s">
        <v>46</v>
      </c>
      <c r="AF185" s="2">
        <v>0</v>
      </c>
      <c r="AG185" s="2">
        <v>0</v>
      </c>
      <c r="AH185" s="2"/>
      <c r="AI185" s="2" t="s">
        <v>43</v>
      </c>
      <c r="AJ185" s="2">
        <v>0</v>
      </c>
      <c r="AK185" s="2">
        <v>0</v>
      </c>
      <c r="AL185" s="2"/>
      <c r="AM185" s="2">
        <v>0</v>
      </c>
      <c r="AN185" s="2">
        <v>0</v>
      </c>
      <c r="AO185" s="2"/>
      <c r="AP185" s="2"/>
      <c r="AQ185" s="2" t="s">
        <v>48</v>
      </c>
      <c r="AR185" s="2" t="s">
        <v>1100</v>
      </c>
      <c r="AS185" s="2" t="s">
        <v>1101</v>
      </c>
      <c r="AT185" s="2" t="s">
        <v>1102</v>
      </c>
      <c r="AU185" s="2" t="s">
        <v>1099</v>
      </c>
      <c r="AV185" s="2" t="s">
        <v>1058</v>
      </c>
      <c r="AW185" s="2">
        <v>4.4001858580000004</v>
      </c>
      <c r="AX185" s="2">
        <v>50.857849057300001</v>
      </c>
    </row>
    <row r="186" spans="2:50" x14ac:dyDescent="0.25">
      <c r="B186" s="2">
        <v>140</v>
      </c>
      <c r="C186" s="2">
        <v>2134352</v>
      </c>
      <c r="D186" s="2" t="s">
        <v>253</v>
      </c>
      <c r="E186" s="2">
        <v>147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f>SUM(parking_data_1030[[#This Row],[Résidenti]:[Autres]])</f>
        <v>147</v>
      </c>
      <c r="R186" s="2">
        <v>0</v>
      </c>
      <c r="S186" s="2">
        <v>0</v>
      </c>
      <c r="T186" s="2" t="s">
        <v>43</v>
      </c>
      <c r="U186" s="2" t="s">
        <v>76</v>
      </c>
      <c r="V186" s="2" t="s">
        <v>59</v>
      </c>
      <c r="W186" s="2">
        <v>1</v>
      </c>
      <c r="X186" s="2">
        <v>1</v>
      </c>
      <c r="Y186" s="2">
        <v>0</v>
      </c>
      <c r="Z186" s="2">
        <v>0</v>
      </c>
      <c r="AA186" s="2">
        <v>0</v>
      </c>
      <c r="AB186" s="2"/>
      <c r="AC186" s="2">
        <v>0</v>
      </c>
      <c r="AD186" s="2"/>
      <c r="AE186" s="2" t="s">
        <v>106</v>
      </c>
      <c r="AF186" s="2">
        <v>0</v>
      </c>
      <c r="AG186" s="2">
        <v>0</v>
      </c>
      <c r="AH186" s="2"/>
      <c r="AI186" s="2" t="s">
        <v>43</v>
      </c>
      <c r="AJ186" s="2">
        <v>0</v>
      </c>
      <c r="AK186" s="2">
        <v>0</v>
      </c>
      <c r="AL186" s="2"/>
      <c r="AM186" s="2">
        <v>0</v>
      </c>
      <c r="AN186" s="2">
        <v>0</v>
      </c>
      <c r="AO186" s="2"/>
      <c r="AP186" s="2"/>
      <c r="AQ186" s="2" t="s">
        <v>48</v>
      </c>
      <c r="AR186" s="2" t="s">
        <v>983</v>
      </c>
      <c r="AS186" s="2" t="s">
        <v>1128</v>
      </c>
      <c r="AT186" s="2" t="s">
        <v>1129</v>
      </c>
      <c r="AU186" s="2" t="s">
        <v>1130</v>
      </c>
      <c r="AV186" s="2" t="s">
        <v>869</v>
      </c>
      <c r="AW186" s="2">
        <v>4.4058201851999996</v>
      </c>
      <c r="AX186" s="2">
        <v>50.855195220200002</v>
      </c>
    </row>
    <row r="187" spans="2:50" x14ac:dyDescent="0.25">
      <c r="B187" s="2">
        <v>141</v>
      </c>
      <c r="C187" s="2">
        <v>2134456</v>
      </c>
      <c r="D187" s="2" t="s">
        <v>254</v>
      </c>
      <c r="E187" s="2">
        <v>0</v>
      </c>
      <c r="F187" s="2">
        <v>0</v>
      </c>
      <c r="G187" s="2">
        <v>0</v>
      </c>
      <c r="H187" s="2">
        <v>17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f>SUM(parking_data_1030[[#This Row],[Résidenti]:[Autres]])</f>
        <v>17</v>
      </c>
      <c r="R187" s="2">
        <v>0</v>
      </c>
      <c r="S187" s="2">
        <v>0</v>
      </c>
      <c r="T187" s="2" t="s">
        <v>43</v>
      </c>
      <c r="U187" s="2" t="s">
        <v>76</v>
      </c>
      <c r="V187" s="2" t="s">
        <v>45</v>
      </c>
      <c r="W187" s="2">
        <v>1</v>
      </c>
      <c r="X187" s="2">
        <v>1</v>
      </c>
      <c r="Y187" s="2">
        <v>1</v>
      </c>
      <c r="Z187" s="2">
        <v>0</v>
      </c>
      <c r="AA187" s="2">
        <v>1</v>
      </c>
      <c r="AB187" s="2"/>
      <c r="AC187" s="2">
        <v>0</v>
      </c>
      <c r="AD187" s="3">
        <v>48258</v>
      </c>
      <c r="AE187" s="2" t="s">
        <v>46</v>
      </c>
      <c r="AF187" s="2">
        <v>1500</v>
      </c>
      <c r="AG187" s="2">
        <v>15</v>
      </c>
      <c r="AH187" s="2"/>
      <c r="AI187" s="2" t="s">
        <v>43</v>
      </c>
      <c r="AJ187" s="2">
        <v>-2</v>
      </c>
      <c r="AK187" s="2">
        <v>17</v>
      </c>
      <c r="AL187" s="2"/>
      <c r="AM187" s="2">
        <v>0</v>
      </c>
      <c r="AN187" s="2">
        <v>0</v>
      </c>
      <c r="AO187" s="2"/>
      <c r="AP187" s="2"/>
      <c r="AQ187" s="2" t="s">
        <v>48</v>
      </c>
      <c r="AR187" s="2" t="s">
        <v>837</v>
      </c>
      <c r="AS187" s="2" t="s">
        <v>1128</v>
      </c>
      <c r="AT187" s="2" t="s">
        <v>1129</v>
      </c>
      <c r="AU187" s="2" t="s">
        <v>878</v>
      </c>
      <c r="AV187" s="2" t="s">
        <v>869</v>
      </c>
      <c r="AW187" s="2">
        <v>4.4018720856</v>
      </c>
      <c r="AX187" s="2">
        <v>50.854571729600003</v>
      </c>
    </row>
    <row r="188" spans="2:50" x14ac:dyDescent="0.25">
      <c r="B188" s="2">
        <v>142</v>
      </c>
      <c r="C188" s="2">
        <v>2134944</v>
      </c>
      <c r="D188" s="2" t="s">
        <v>255</v>
      </c>
      <c r="E188" s="2">
        <v>24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f>SUM(parking_data_1030[[#This Row],[Résidenti]:[Autres]])</f>
        <v>24</v>
      </c>
      <c r="R188" s="2">
        <v>0</v>
      </c>
      <c r="S188" s="2">
        <v>0</v>
      </c>
      <c r="T188" s="2" t="s">
        <v>43</v>
      </c>
      <c r="U188" s="2" t="s">
        <v>76</v>
      </c>
      <c r="V188" s="2" t="s">
        <v>45</v>
      </c>
      <c r="W188" s="2">
        <v>0</v>
      </c>
      <c r="X188" s="2">
        <v>1</v>
      </c>
      <c r="Y188" s="2">
        <v>0</v>
      </c>
      <c r="Z188" s="2">
        <v>1</v>
      </c>
      <c r="AA188" s="2">
        <v>0</v>
      </c>
      <c r="AB188" s="2"/>
      <c r="AC188" s="2">
        <v>0</v>
      </c>
      <c r="AD188" s="2"/>
      <c r="AE188" s="2" t="s">
        <v>46</v>
      </c>
      <c r="AF188" s="2">
        <v>0</v>
      </c>
      <c r="AG188" s="2">
        <v>0</v>
      </c>
      <c r="AH188" s="2" t="s">
        <v>120</v>
      </c>
      <c r="AI188" s="2" t="s">
        <v>43</v>
      </c>
      <c r="AJ188" s="2">
        <v>0</v>
      </c>
      <c r="AK188" s="2">
        <v>0</v>
      </c>
      <c r="AL188" s="2"/>
      <c r="AM188" s="2">
        <v>0</v>
      </c>
      <c r="AN188" s="2">
        <v>0</v>
      </c>
      <c r="AO188" s="2"/>
      <c r="AP188" s="2"/>
      <c r="AQ188" s="2" t="s">
        <v>48</v>
      </c>
      <c r="AR188" s="2" t="s">
        <v>934</v>
      </c>
      <c r="AS188" s="2" t="s">
        <v>1128</v>
      </c>
      <c r="AT188" s="2" t="s">
        <v>1129</v>
      </c>
      <c r="AU188" s="2" t="s">
        <v>878</v>
      </c>
      <c r="AV188" s="2" t="s">
        <v>869</v>
      </c>
      <c r="AW188" s="2">
        <v>4.4023528510999999</v>
      </c>
      <c r="AX188" s="2">
        <v>50.854729611700002</v>
      </c>
    </row>
    <row r="189" spans="2:50" x14ac:dyDescent="0.25">
      <c r="B189" s="2">
        <v>449</v>
      </c>
      <c r="C189" s="2">
        <v>2134945</v>
      </c>
      <c r="D189" s="2" t="s">
        <v>634</v>
      </c>
      <c r="E189" s="2">
        <v>120</v>
      </c>
      <c r="F189" s="2">
        <v>0</v>
      </c>
      <c r="G189" s="2">
        <v>0</v>
      </c>
      <c r="H189" s="2">
        <v>6</v>
      </c>
      <c r="I189" s="2">
        <v>9</v>
      </c>
      <c r="J189" s="2">
        <v>0</v>
      </c>
      <c r="K189" s="2">
        <v>0</v>
      </c>
      <c r="L189" s="2">
        <v>0</v>
      </c>
      <c r="M189" s="2">
        <v>2</v>
      </c>
      <c r="N189" s="2">
        <v>0</v>
      </c>
      <c r="O189" s="2">
        <v>0</v>
      </c>
      <c r="P189" s="2">
        <v>0</v>
      </c>
      <c r="Q189" s="2">
        <f>SUM(parking_data_1030[[#This Row],[Résidenti]:[Autres]])</f>
        <v>137</v>
      </c>
      <c r="R189" s="2">
        <v>0</v>
      </c>
      <c r="S189" s="2">
        <v>0</v>
      </c>
      <c r="T189" s="2" t="s">
        <v>43</v>
      </c>
      <c r="U189" s="2" t="s">
        <v>76</v>
      </c>
      <c r="V189" s="2" t="s">
        <v>45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 t="s">
        <v>60</v>
      </c>
      <c r="AC189" s="2">
        <v>0</v>
      </c>
      <c r="AD189" s="2"/>
      <c r="AE189" s="2" t="s">
        <v>106</v>
      </c>
      <c r="AF189" s="2">
        <v>0</v>
      </c>
      <c r="AG189" s="2">
        <v>0</v>
      </c>
      <c r="AH189" s="2" t="s">
        <v>635</v>
      </c>
      <c r="AI189" s="2" t="s">
        <v>43</v>
      </c>
      <c r="AJ189" s="2">
        <v>0</v>
      </c>
      <c r="AK189" s="2">
        <v>17</v>
      </c>
      <c r="AL189" s="2"/>
      <c r="AM189" s="2">
        <v>0</v>
      </c>
      <c r="AN189" s="2">
        <v>0</v>
      </c>
      <c r="AO189" s="2"/>
      <c r="AP189" s="2"/>
      <c r="AQ189" s="2" t="s">
        <v>48</v>
      </c>
      <c r="AR189" s="2" t="s">
        <v>1266</v>
      </c>
      <c r="AS189" s="2" t="s">
        <v>1128</v>
      </c>
      <c r="AT189" s="2" t="s">
        <v>1129</v>
      </c>
      <c r="AU189" s="2" t="s">
        <v>1572</v>
      </c>
      <c r="AV189" s="2" t="s">
        <v>869</v>
      </c>
      <c r="AW189" s="2">
        <v>4.4077198995</v>
      </c>
      <c r="AX189" s="2">
        <v>50.855999703000002</v>
      </c>
    </row>
    <row r="190" spans="2:50" x14ac:dyDescent="0.25">
      <c r="B190" s="2">
        <v>317</v>
      </c>
      <c r="C190" s="2">
        <v>2156807</v>
      </c>
      <c r="D190" s="2" t="s">
        <v>484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f>SUM(parking_data_1030[[#This Row],[Résidenti]:[Autres]])</f>
        <v>0</v>
      </c>
      <c r="R190" s="2">
        <v>0</v>
      </c>
      <c r="S190" s="2">
        <v>0</v>
      </c>
      <c r="T190" s="2" t="s">
        <v>43</v>
      </c>
      <c r="U190" s="2" t="s">
        <v>44</v>
      </c>
      <c r="V190" s="2" t="s">
        <v>45</v>
      </c>
      <c r="W190" s="2">
        <v>0</v>
      </c>
      <c r="X190" s="2">
        <v>0</v>
      </c>
      <c r="Y190" s="2">
        <v>0</v>
      </c>
      <c r="Z190" s="2">
        <v>1</v>
      </c>
      <c r="AA190" s="2">
        <v>0</v>
      </c>
      <c r="AB190" s="2" t="s">
        <v>485</v>
      </c>
      <c r="AC190" s="2">
        <v>0</v>
      </c>
      <c r="AD190" s="2"/>
      <c r="AE190" s="2" t="s">
        <v>46</v>
      </c>
      <c r="AF190" s="2">
        <v>0</v>
      </c>
      <c r="AG190" s="2">
        <v>0</v>
      </c>
      <c r="AH190" s="2" t="s">
        <v>486</v>
      </c>
      <c r="AI190" s="2" t="s">
        <v>79</v>
      </c>
      <c r="AJ190" s="2">
        <v>0</v>
      </c>
      <c r="AK190" s="2">
        <v>0</v>
      </c>
      <c r="AL190" s="2" t="s">
        <v>193</v>
      </c>
      <c r="AM190" s="2">
        <v>0</v>
      </c>
      <c r="AN190" s="2">
        <v>0</v>
      </c>
      <c r="AO190" s="2"/>
      <c r="AP190" s="2"/>
      <c r="AQ190" s="2" t="s">
        <v>48</v>
      </c>
      <c r="AR190" s="2" t="s">
        <v>1395</v>
      </c>
      <c r="AS190" s="2" t="s">
        <v>1396</v>
      </c>
      <c r="AT190" s="2" t="s">
        <v>1397</v>
      </c>
      <c r="AU190" s="2" t="s">
        <v>1398</v>
      </c>
      <c r="AV190" s="2" t="s">
        <v>1137</v>
      </c>
      <c r="AW190" s="2">
        <v>4.3893797972000002</v>
      </c>
      <c r="AX190" s="2">
        <v>50.858576648300001</v>
      </c>
    </row>
    <row r="191" spans="2:50" x14ac:dyDescent="0.25">
      <c r="B191" s="2">
        <v>88</v>
      </c>
      <c r="C191" s="2">
        <v>2134102</v>
      </c>
      <c r="D191" s="2" t="s">
        <v>676</v>
      </c>
      <c r="E191" s="2">
        <v>0</v>
      </c>
      <c r="F191" s="2">
        <v>0</v>
      </c>
      <c r="G191" s="2">
        <v>40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f>SUM(parking_data_1030[[#This Row],[Résidenti]:[Autres]])</f>
        <v>40</v>
      </c>
      <c r="R191" s="2">
        <v>0</v>
      </c>
      <c r="S191" s="2">
        <v>0</v>
      </c>
      <c r="T191" s="2" t="s">
        <v>43</v>
      </c>
      <c r="U191" s="2" t="s">
        <v>64</v>
      </c>
      <c r="V191" s="2" t="s">
        <v>45</v>
      </c>
      <c r="W191" s="2">
        <v>0</v>
      </c>
      <c r="X191" s="2">
        <v>1</v>
      </c>
      <c r="Y191" s="2">
        <v>0</v>
      </c>
      <c r="Z191" s="2">
        <v>1</v>
      </c>
      <c r="AA191" s="2">
        <v>0</v>
      </c>
      <c r="AB191" s="2"/>
      <c r="AC191" s="2">
        <v>0</v>
      </c>
      <c r="AD191" s="2"/>
      <c r="AE191" s="2" t="s">
        <v>106</v>
      </c>
      <c r="AF191" s="2">
        <v>0</v>
      </c>
      <c r="AG191" s="2">
        <v>0</v>
      </c>
      <c r="AH191" s="2" t="s">
        <v>677</v>
      </c>
      <c r="AI191" s="2" t="s">
        <v>43</v>
      </c>
      <c r="AJ191" s="2">
        <v>0</v>
      </c>
      <c r="AK191" s="2">
        <v>40</v>
      </c>
      <c r="AL191" s="2" t="s">
        <v>678</v>
      </c>
      <c r="AM191" s="2">
        <v>0</v>
      </c>
      <c r="AN191" s="2">
        <v>0</v>
      </c>
      <c r="AO191" s="2"/>
      <c r="AP191" s="2"/>
      <c r="AQ191" s="2" t="s">
        <v>48</v>
      </c>
      <c r="AR191" s="2" t="s">
        <v>1040</v>
      </c>
      <c r="AS191" s="2" t="s">
        <v>1041</v>
      </c>
      <c r="AT191" s="2" t="s">
        <v>1042</v>
      </c>
      <c r="AU191" s="2" t="s">
        <v>1039</v>
      </c>
      <c r="AV191" s="2" t="s">
        <v>1000</v>
      </c>
      <c r="AW191" s="2">
        <v>4.3926169036999996</v>
      </c>
      <c r="AX191" s="2">
        <v>50.865046448699999</v>
      </c>
    </row>
    <row r="192" spans="2:50" x14ac:dyDescent="0.25">
      <c r="B192" s="2">
        <v>89</v>
      </c>
      <c r="C192" s="2">
        <v>3000642</v>
      </c>
      <c r="D192" s="2" t="s">
        <v>679</v>
      </c>
      <c r="E192" s="2">
        <v>59</v>
      </c>
      <c r="F192" s="2">
        <v>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f>SUM(parking_data_1030[[#This Row],[Résidenti]:[Autres]])</f>
        <v>59</v>
      </c>
      <c r="R192" s="2">
        <v>0</v>
      </c>
      <c r="S192" s="2">
        <v>0</v>
      </c>
      <c r="T192" s="2" t="s">
        <v>43</v>
      </c>
      <c r="U192" s="2" t="s">
        <v>199</v>
      </c>
      <c r="V192" s="2" t="s">
        <v>59</v>
      </c>
      <c r="W192" s="2">
        <v>1</v>
      </c>
      <c r="X192" s="2">
        <v>1</v>
      </c>
      <c r="Y192" s="2">
        <v>0</v>
      </c>
      <c r="Z192" s="2">
        <v>0</v>
      </c>
      <c r="AA192" s="2">
        <v>0</v>
      </c>
      <c r="AB192" s="2"/>
      <c r="AC192" s="2">
        <v>0</v>
      </c>
      <c r="AD192" s="3">
        <v>47393</v>
      </c>
      <c r="AE192" s="2" t="s">
        <v>106</v>
      </c>
      <c r="AF192" s="2">
        <v>0</v>
      </c>
      <c r="AG192" s="2">
        <v>0</v>
      </c>
      <c r="AH192" s="2" t="s">
        <v>680</v>
      </c>
      <c r="AI192" s="2" t="s">
        <v>43</v>
      </c>
      <c r="AJ192" s="2">
        <v>0</v>
      </c>
      <c r="AK192" s="2">
        <v>0</v>
      </c>
      <c r="AL192" s="2"/>
      <c r="AM192" s="2">
        <v>0</v>
      </c>
      <c r="AN192" s="2">
        <v>0</v>
      </c>
      <c r="AO192" s="2"/>
      <c r="AP192" s="2"/>
      <c r="AQ192" s="2" t="s">
        <v>48</v>
      </c>
      <c r="AR192" s="2" t="s">
        <v>1043</v>
      </c>
      <c r="AS192" s="2" t="s">
        <v>1041</v>
      </c>
      <c r="AT192" s="2" t="s">
        <v>1042</v>
      </c>
      <c r="AU192" s="2" t="s">
        <v>1039</v>
      </c>
      <c r="AV192" s="2" t="s">
        <v>1000</v>
      </c>
      <c r="AW192" s="2">
        <v>4.3935895795000004</v>
      </c>
      <c r="AX192" s="2">
        <v>50.864928671199998</v>
      </c>
    </row>
    <row r="193" spans="2:50" x14ac:dyDescent="0.25">
      <c r="B193" s="2">
        <v>90</v>
      </c>
      <c r="C193" s="2">
        <v>2133980</v>
      </c>
      <c r="D193" s="2" t="s">
        <v>681</v>
      </c>
      <c r="E193" s="2">
        <v>14</v>
      </c>
      <c r="F193" s="2">
        <v>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f>SUM(parking_data_1030[[#This Row],[Résidenti]:[Autres]])</f>
        <v>14</v>
      </c>
      <c r="R193" s="2">
        <v>0</v>
      </c>
      <c r="S193" s="2">
        <v>0</v>
      </c>
      <c r="T193" s="2" t="s">
        <v>43</v>
      </c>
      <c r="U193" s="2" t="s">
        <v>76</v>
      </c>
      <c r="V193" s="2" t="s">
        <v>45</v>
      </c>
      <c r="W193" s="2">
        <v>0</v>
      </c>
      <c r="X193" s="2">
        <v>1</v>
      </c>
      <c r="Y193" s="2">
        <v>0</v>
      </c>
      <c r="Z193" s="2">
        <v>1</v>
      </c>
      <c r="AA193" s="2">
        <v>0</v>
      </c>
      <c r="AB193" s="2"/>
      <c r="AC193" s="2">
        <v>0</v>
      </c>
      <c r="AD193" s="2"/>
      <c r="AE193" s="2" t="s">
        <v>106</v>
      </c>
      <c r="AF193" s="2">
        <v>0</v>
      </c>
      <c r="AG193" s="2">
        <v>0</v>
      </c>
      <c r="AH193" s="2" t="s">
        <v>120</v>
      </c>
      <c r="AI193" s="2" t="s">
        <v>43</v>
      </c>
      <c r="AJ193" s="2">
        <v>0</v>
      </c>
      <c r="AK193" s="2">
        <v>0</v>
      </c>
      <c r="AL193" s="2"/>
      <c r="AM193" s="2">
        <v>0</v>
      </c>
      <c r="AN193" s="2">
        <v>0</v>
      </c>
      <c r="AO193" s="2"/>
      <c r="AP193" s="2"/>
      <c r="AQ193" s="2" t="s">
        <v>48</v>
      </c>
      <c r="AR193" s="2" t="s">
        <v>964</v>
      </c>
      <c r="AS193" s="2" t="s">
        <v>1041</v>
      </c>
      <c r="AT193" s="2" t="s">
        <v>1042</v>
      </c>
      <c r="AU193" s="2" t="s">
        <v>1044</v>
      </c>
      <c r="AV193" s="2" t="s">
        <v>1000</v>
      </c>
      <c r="AW193" s="2">
        <v>4.3936165048999998</v>
      </c>
      <c r="AX193" s="2">
        <v>50.864540287499999</v>
      </c>
    </row>
    <row r="194" spans="2:50" x14ac:dyDescent="0.25">
      <c r="B194" s="2">
        <v>8</v>
      </c>
      <c r="C194" s="2">
        <v>2175712</v>
      </c>
      <c r="D194" s="2" t="s">
        <v>51</v>
      </c>
      <c r="E194" s="2">
        <v>17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f>SUM(parking_data_1030[[#This Row],[Résidenti]:[Autres]])</f>
        <v>17</v>
      </c>
      <c r="R194" s="2">
        <v>0</v>
      </c>
      <c r="S194" s="2">
        <v>0</v>
      </c>
      <c r="T194" s="2" t="s">
        <v>43</v>
      </c>
      <c r="U194" s="2" t="s">
        <v>44</v>
      </c>
      <c r="V194" s="2" t="s">
        <v>45</v>
      </c>
      <c r="W194" s="2">
        <v>1</v>
      </c>
      <c r="X194" s="2">
        <v>1</v>
      </c>
      <c r="Y194" s="2">
        <v>0</v>
      </c>
      <c r="Z194" s="2">
        <v>0</v>
      </c>
      <c r="AA194" s="2">
        <v>0</v>
      </c>
      <c r="AB194" s="2"/>
      <c r="AC194" s="2">
        <v>0</v>
      </c>
      <c r="AD194" s="2"/>
      <c r="AE194" s="2" t="s">
        <v>52</v>
      </c>
      <c r="AF194" s="2">
        <v>0</v>
      </c>
      <c r="AG194" s="2">
        <v>0</v>
      </c>
      <c r="AH194" s="2"/>
      <c r="AI194" s="2" t="s">
        <v>43</v>
      </c>
      <c r="AJ194" s="2">
        <v>0</v>
      </c>
      <c r="AK194" s="2">
        <v>0</v>
      </c>
      <c r="AL194" s="2"/>
      <c r="AM194" s="2">
        <v>0</v>
      </c>
      <c r="AN194" s="2">
        <v>0</v>
      </c>
      <c r="AO194" s="2"/>
      <c r="AP194" s="2"/>
      <c r="AQ194" s="2" t="s">
        <v>48</v>
      </c>
      <c r="AR194" s="2" t="s">
        <v>854</v>
      </c>
      <c r="AS194" s="2" t="s">
        <v>855</v>
      </c>
      <c r="AT194" s="2" t="s">
        <v>856</v>
      </c>
      <c r="AU194" s="2" t="s">
        <v>848</v>
      </c>
      <c r="AV194" s="2" t="s">
        <v>835</v>
      </c>
      <c r="AW194" s="2">
        <v>4.3818239629000004</v>
      </c>
      <c r="AX194" s="2">
        <v>50.876161969899997</v>
      </c>
    </row>
    <row r="195" spans="2:50" x14ac:dyDescent="0.25">
      <c r="B195" s="2">
        <v>9</v>
      </c>
      <c r="C195" s="2">
        <v>2177613</v>
      </c>
      <c r="D195" s="2" t="s">
        <v>53</v>
      </c>
      <c r="E195" s="2">
        <v>16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f>SUM(parking_data_1030[[#This Row],[Résidenti]:[Autres]])</f>
        <v>16</v>
      </c>
      <c r="R195" s="2">
        <v>0</v>
      </c>
      <c r="S195" s="2">
        <v>0</v>
      </c>
      <c r="T195" s="2" t="s">
        <v>43</v>
      </c>
      <c r="U195" s="2" t="s">
        <v>54</v>
      </c>
      <c r="V195" s="2" t="s">
        <v>45</v>
      </c>
      <c r="W195" s="2">
        <v>0</v>
      </c>
      <c r="X195" s="2">
        <v>1</v>
      </c>
      <c r="Y195" s="2">
        <v>0</v>
      </c>
      <c r="Z195" s="2">
        <v>1</v>
      </c>
      <c r="AA195" s="2">
        <v>0</v>
      </c>
      <c r="AB195" s="2"/>
      <c r="AC195" s="2">
        <v>0</v>
      </c>
      <c r="AD195" s="2"/>
      <c r="AE195" s="2" t="s">
        <v>52</v>
      </c>
      <c r="AF195" s="2">
        <v>0</v>
      </c>
      <c r="AG195" s="2">
        <v>0</v>
      </c>
      <c r="AH195" s="2" t="s">
        <v>55</v>
      </c>
      <c r="AI195" s="2" t="s">
        <v>43</v>
      </c>
      <c r="AJ195" s="2">
        <v>0</v>
      </c>
      <c r="AK195" s="2">
        <v>0</v>
      </c>
      <c r="AL195" s="2"/>
      <c r="AM195" s="2">
        <v>0</v>
      </c>
      <c r="AN195" s="2">
        <v>0</v>
      </c>
      <c r="AO195" s="2"/>
      <c r="AP195" s="2"/>
      <c r="AQ195" s="2" t="s">
        <v>48</v>
      </c>
      <c r="AR195" s="2" t="s">
        <v>857</v>
      </c>
      <c r="AS195" s="2" t="s">
        <v>855</v>
      </c>
      <c r="AT195" s="2" t="s">
        <v>856</v>
      </c>
      <c r="AU195" s="2" t="s">
        <v>858</v>
      </c>
      <c r="AV195" s="2" t="s">
        <v>835</v>
      </c>
      <c r="AW195" s="2">
        <v>4.3821897830000003</v>
      </c>
      <c r="AX195" s="2">
        <v>50.876994431200004</v>
      </c>
    </row>
    <row r="196" spans="2:50" x14ac:dyDescent="0.25">
      <c r="B196" s="2">
        <v>20</v>
      </c>
      <c r="C196" s="2">
        <v>2132470</v>
      </c>
      <c r="D196" s="2" t="s">
        <v>784</v>
      </c>
      <c r="E196" s="2">
        <v>11</v>
      </c>
      <c r="F196" s="2">
        <v>0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f>SUM(parking_data_1030[[#This Row],[Résidenti]:[Autres]])</f>
        <v>11</v>
      </c>
      <c r="R196" s="2">
        <v>0</v>
      </c>
      <c r="S196" s="2">
        <v>0</v>
      </c>
      <c r="T196" s="2" t="s">
        <v>43</v>
      </c>
      <c r="U196" s="2" t="s">
        <v>44</v>
      </c>
      <c r="V196" s="2" t="s">
        <v>45</v>
      </c>
      <c r="W196" s="2">
        <v>0</v>
      </c>
      <c r="X196" s="2">
        <v>1</v>
      </c>
      <c r="Y196" s="2">
        <v>0</v>
      </c>
      <c r="Z196" s="2">
        <v>1</v>
      </c>
      <c r="AA196" s="2">
        <v>0</v>
      </c>
      <c r="AB196" s="2"/>
      <c r="AC196" s="2">
        <v>0</v>
      </c>
      <c r="AD196" s="2"/>
      <c r="AE196" s="2" t="s">
        <v>52</v>
      </c>
      <c r="AF196" s="2">
        <v>0</v>
      </c>
      <c r="AG196" s="2">
        <v>0</v>
      </c>
      <c r="AH196" s="2" t="s">
        <v>74</v>
      </c>
      <c r="AI196" s="2" t="s">
        <v>43</v>
      </c>
      <c r="AJ196" s="2">
        <v>0</v>
      </c>
      <c r="AK196" s="2">
        <v>0</v>
      </c>
      <c r="AL196" s="2"/>
      <c r="AM196" s="2">
        <v>0</v>
      </c>
      <c r="AN196" s="2">
        <v>0</v>
      </c>
      <c r="AO196" s="2"/>
      <c r="AP196" s="2"/>
      <c r="AQ196" s="2" t="s">
        <v>48</v>
      </c>
      <c r="AR196" s="2" t="s">
        <v>884</v>
      </c>
      <c r="AS196" s="2" t="s">
        <v>855</v>
      </c>
      <c r="AT196" s="2" t="s">
        <v>856</v>
      </c>
      <c r="AU196" s="2" t="s">
        <v>885</v>
      </c>
      <c r="AV196" s="2" t="s">
        <v>835</v>
      </c>
      <c r="AW196" s="2">
        <v>4.3839694745999997</v>
      </c>
      <c r="AX196" s="2">
        <v>50.876359466799997</v>
      </c>
    </row>
    <row r="197" spans="2:50" x14ac:dyDescent="0.25">
      <c r="B197" s="2">
        <v>24</v>
      </c>
      <c r="C197" s="2">
        <v>2177967</v>
      </c>
      <c r="D197" s="2" t="s">
        <v>762</v>
      </c>
      <c r="E197" s="2">
        <v>0</v>
      </c>
      <c r="F197" s="2">
        <v>0</v>
      </c>
      <c r="G197" s="2">
        <v>0</v>
      </c>
      <c r="H197" s="2">
        <v>0</v>
      </c>
      <c r="I197" s="2">
        <v>0</v>
      </c>
      <c r="J197" s="2">
        <v>0</v>
      </c>
      <c r="K197" s="2">
        <v>20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f>SUM(parking_data_1030[[#This Row],[Résidenti]:[Autres]])</f>
        <v>20</v>
      </c>
      <c r="R197" s="2">
        <v>0</v>
      </c>
      <c r="S197" s="2">
        <v>0</v>
      </c>
      <c r="T197" s="2" t="s">
        <v>43</v>
      </c>
      <c r="U197" s="2" t="s">
        <v>64</v>
      </c>
      <c r="V197" s="2" t="s">
        <v>59</v>
      </c>
      <c r="W197" s="2">
        <v>0</v>
      </c>
      <c r="X197" s="2">
        <v>1</v>
      </c>
      <c r="Y197" s="2">
        <v>1</v>
      </c>
      <c r="Z197" s="2">
        <v>0</v>
      </c>
      <c r="AA197" s="2">
        <v>0</v>
      </c>
      <c r="AB197" s="2"/>
      <c r="AC197" s="2">
        <v>0</v>
      </c>
      <c r="AD197" s="2"/>
      <c r="AE197" s="2" t="s">
        <v>46</v>
      </c>
      <c r="AF197" s="2">
        <v>0</v>
      </c>
      <c r="AG197" s="2">
        <v>0</v>
      </c>
      <c r="AH197" s="2" t="s">
        <v>763</v>
      </c>
      <c r="AI197" s="2" t="s">
        <v>43</v>
      </c>
      <c r="AJ197" s="2">
        <v>0</v>
      </c>
      <c r="AK197" s="2">
        <v>20</v>
      </c>
      <c r="AL197" s="2"/>
      <c r="AM197" s="2">
        <v>0</v>
      </c>
      <c r="AN197" s="2">
        <v>0</v>
      </c>
      <c r="AO197" s="2"/>
      <c r="AP197" s="2"/>
      <c r="AQ197" s="2" t="s">
        <v>48</v>
      </c>
      <c r="AR197" s="2" t="s">
        <v>898</v>
      </c>
      <c r="AS197" s="2" t="s">
        <v>855</v>
      </c>
      <c r="AT197" s="2" t="s">
        <v>856</v>
      </c>
      <c r="AU197" s="2" t="s">
        <v>899</v>
      </c>
      <c r="AV197" s="2" t="s">
        <v>835</v>
      </c>
      <c r="AW197" s="2">
        <v>4.3855825595000004</v>
      </c>
      <c r="AX197" s="2">
        <v>50.875661370899998</v>
      </c>
    </row>
    <row r="198" spans="2:50" x14ac:dyDescent="0.25">
      <c r="B198" s="2">
        <v>25</v>
      </c>
      <c r="C198" s="2">
        <v>2177917</v>
      </c>
      <c r="D198" s="2" t="s">
        <v>764</v>
      </c>
      <c r="E198" s="2">
        <v>19</v>
      </c>
      <c r="F198" s="2">
        <v>0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f>SUM(parking_data_1030[[#This Row],[Résidenti]:[Autres]])</f>
        <v>19</v>
      </c>
      <c r="R198" s="2">
        <v>0</v>
      </c>
      <c r="S198" s="2">
        <v>0</v>
      </c>
      <c r="T198" s="2" t="s">
        <v>43</v>
      </c>
      <c r="U198" s="2" t="s">
        <v>54</v>
      </c>
      <c r="V198" s="2" t="s">
        <v>45</v>
      </c>
      <c r="W198" s="2">
        <v>0</v>
      </c>
      <c r="X198" s="2">
        <v>1</v>
      </c>
      <c r="Y198" s="2">
        <v>0</v>
      </c>
      <c r="Z198" s="2">
        <v>1</v>
      </c>
      <c r="AA198" s="2">
        <v>0</v>
      </c>
      <c r="AB198" s="2"/>
      <c r="AC198" s="2">
        <v>0</v>
      </c>
      <c r="AD198" s="2"/>
      <c r="AE198" s="2" t="s">
        <v>46</v>
      </c>
      <c r="AF198" s="2">
        <v>0</v>
      </c>
      <c r="AG198" s="2">
        <v>0</v>
      </c>
      <c r="AH198" s="2" t="s">
        <v>74</v>
      </c>
      <c r="AI198" s="2" t="s">
        <v>43</v>
      </c>
      <c r="AJ198" s="2">
        <v>0</v>
      </c>
      <c r="AK198" s="2">
        <v>0</v>
      </c>
      <c r="AL198" s="2"/>
      <c r="AM198" s="2">
        <v>0</v>
      </c>
      <c r="AN198" s="2">
        <v>0</v>
      </c>
      <c r="AO198" s="2"/>
      <c r="AP198" s="2"/>
      <c r="AQ198" s="2" t="s">
        <v>48</v>
      </c>
      <c r="AR198" s="2" t="s">
        <v>900</v>
      </c>
      <c r="AS198" s="2" t="s">
        <v>855</v>
      </c>
      <c r="AT198" s="2" t="s">
        <v>856</v>
      </c>
      <c r="AU198" s="2" t="s">
        <v>899</v>
      </c>
      <c r="AV198" s="2" t="s">
        <v>835</v>
      </c>
      <c r="AW198" s="2">
        <v>4.3847790283999997</v>
      </c>
      <c r="AX198" s="2">
        <v>50.875460410400002</v>
      </c>
    </row>
    <row r="199" spans="2:50" x14ac:dyDescent="0.25">
      <c r="B199" s="2">
        <v>139</v>
      </c>
      <c r="C199" s="2">
        <v>2166647</v>
      </c>
      <c r="D199" s="2" t="s">
        <v>251</v>
      </c>
      <c r="E199" s="2">
        <v>172</v>
      </c>
      <c r="F199" s="2">
        <v>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f>SUM(parking_data_1030[[#This Row],[Résidenti]:[Autres]])</f>
        <v>172</v>
      </c>
      <c r="R199" s="2">
        <v>0</v>
      </c>
      <c r="S199" s="2">
        <v>0</v>
      </c>
      <c r="T199" s="2" t="s">
        <v>43</v>
      </c>
      <c r="U199" s="2" t="s">
        <v>76</v>
      </c>
      <c r="V199" s="2" t="s">
        <v>45</v>
      </c>
      <c r="W199" s="2">
        <v>1</v>
      </c>
      <c r="X199" s="2">
        <v>0</v>
      </c>
      <c r="Y199" s="2">
        <v>0</v>
      </c>
      <c r="Z199" s="2">
        <v>0</v>
      </c>
      <c r="AA199" s="2">
        <v>0</v>
      </c>
      <c r="AB199" s="2"/>
      <c r="AC199" s="2">
        <v>0</v>
      </c>
      <c r="AD199" s="2"/>
      <c r="AE199" s="2" t="s">
        <v>106</v>
      </c>
      <c r="AF199" s="2">
        <v>0</v>
      </c>
      <c r="AG199" s="2">
        <v>0</v>
      </c>
      <c r="AH199" s="2" t="s">
        <v>252</v>
      </c>
      <c r="AI199" s="2" t="s">
        <v>43</v>
      </c>
      <c r="AJ199" s="2">
        <v>0</v>
      </c>
      <c r="AK199" s="2">
        <v>0</v>
      </c>
      <c r="AL199" s="2"/>
      <c r="AM199" s="2">
        <v>0</v>
      </c>
      <c r="AN199" s="2">
        <v>0</v>
      </c>
      <c r="AO199" s="2"/>
      <c r="AP199" s="2"/>
      <c r="AQ199" s="2" t="s">
        <v>48</v>
      </c>
      <c r="AR199" s="2" t="s">
        <v>931</v>
      </c>
      <c r="AS199" s="2" t="s">
        <v>1081</v>
      </c>
      <c r="AT199" s="2" t="s">
        <v>1082</v>
      </c>
      <c r="AU199" s="2" t="s">
        <v>1127</v>
      </c>
      <c r="AV199" s="2" t="s">
        <v>869</v>
      </c>
      <c r="AW199" s="2">
        <v>4.4114669433999998</v>
      </c>
      <c r="AX199" s="2">
        <v>50.8550171324</v>
      </c>
    </row>
    <row r="200" spans="2:50" x14ac:dyDescent="0.25">
      <c r="B200" s="2">
        <v>448</v>
      </c>
      <c r="C200" s="2">
        <v>2134947</v>
      </c>
      <c r="D200" s="2" t="s">
        <v>632</v>
      </c>
      <c r="E200" s="2">
        <v>0</v>
      </c>
      <c r="F200" s="2">
        <v>0</v>
      </c>
      <c r="G200" s="2">
        <v>0</v>
      </c>
      <c r="H200" s="2">
        <v>0</v>
      </c>
      <c r="I200" s="2">
        <v>75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f>SUM(parking_data_1030[[#This Row],[Résidenti]:[Autres]])</f>
        <v>75</v>
      </c>
      <c r="R200" s="2">
        <v>0</v>
      </c>
      <c r="S200" s="2">
        <v>0</v>
      </c>
      <c r="T200" s="2" t="s">
        <v>79</v>
      </c>
      <c r="U200" s="2" t="s">
        <v>95</v>
      </c>
      <c r="V200" s="2" t="s">
        <v>45</v>
      </c>
      <c r="W200" s="2">
        <v>1</v>
      </c>
      <c r="X200" s="2">
        <v>1</v>
      </c>
      <c r="Y200" s="2">
        <v>1</v>
      </c>
      <c r="Z200" s="2">
        <v>0</v>
      </c>
      <c r="AA200" s="2">
        <v>1</v>
      </c>
      <c r="AB200" s="2"/>
      <c r="AC200" s="2">
        <v>0</v>
      </c>
      <c r="AD200" s="2"/>
      <c r="AE200" s="2" t="s">
        <v>106</v>
      </c>
      <c r="AF200" s="2">
        <v>0</v>
      </c>
      <c r="AG200" s="2">
        <v>0</v>
      </c>
      <c r="AH200" s="2" t="s">
        <v>633</v>
      </c>
      <c r="AI200" s="2" t="s">
        <v>43</v>
      </c>
      <c r="AJ200" s="2">
        <v>0</v>
      </c>
      <c r="AK200" s="2">
        <v>75</v>
      </c>
      <c r="AL200" s="2"/>
      <c r="AM200" s="2">
        <v>0</v>
      </c>
      <c r="AN200" s="2">
        <v>0</v>
      </c>
      <c r="AO200" s="2"/>
      <c r="AP200" s="2"/>
      <c r="AQ200" s="2" t="s">
        <v>48</v>
      </c>
      <c r="AR200" s="2" t="s">
        <v>1008</v>
      </c>
      <c r="AS200" s="2" t="s">
        <v>1081</v>
      </c>
      <c r="AT200" s="2" t="s">
        <v>1082</v>
      </c>
      <c r="AU200" s="2" t="s">
        <v>1572</v>
      </c>
      <c r="AV200" s="2" t="s">
        <v>869</v>
      </c>
      <c r="AW200" s="2">
        <v>4.4095194669</v>
      </c>
      <c r="AX200" s="2">
        <v>50.855469532900003</v>
      </c>
    </row>
    <row r="201" spans="2:50" x14ac:dyDescent="0.25">
      <c r="B201" s="2">
        <v>450</v>
      </c>
      <c r="C201" s="2">
        <v>10006208</v>
      </c>
      <c r="D201" s="2" t="s">
        <v>636</v>
      </c>
      <c r="E201" s="2">
        <v>0</v>
      </c>
      <c r="F201" s="2">
        <v>0</v>
      </c>
      <c r="G201" s="2">
        <v>0</v>
      </c>
      <c r="H201" s="2">
        <v>339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f>SUM(parking_data_1030[[#This Row],[Résidenti]:[Autres]])</f>
        <v>339</v>
      </c>
      <c r="R201" s="2">
        <v>0</v>
      </c>
      <c r="S201" s="2">
        <v>0</v>
      </c>
      <c r="T201" s="2" t="s">
        <v>43</v>
      </c>
      <c r="U201" s="2" t="s">
        <v>95</v>
      </c>
      <c r="V201" s="2" t="s">
        <v>45</v>
      </c>
      <c r="W201" s="2">
        <v>1</v>
      </c>
      <c r="X201" s="2">
        <v>1</v>
      </c>
      <c r="Y201" s="2">
        <v>1</v>
      </c>
      <c r="Z201" s="2">
        <v>0</v>
      </c>
      <c r="AA201" s="2">
        <v>0</v>
      </c>
      <c r="AB201" s="2"/>
      <c r="AC201" s="2">
        <v>0</v>
      </c>
      <c r="AD201" s="3">
        <v>49343</v>
      </c>
      <c r="AE201" s="2" t="s">
        <v>106</v>
      </c>
      <c r="AF201" s="2">
        <v>18914</v>
      </c>
      <c r="AG201" s="2">
        <v>316</v>
      </c>
      <c r="AH201" s="2" t="s">
        <v>637</v>
      </c>
      <c r="AI201" s="2" t="s">
        <v>43</v>
      </c>
      <c r="AJ201" s="2">
        <v>-23</v>
      </c>
      <c r="AK201" s="2">
        <v>339</v>
      </c>
      <c r="AL201" s="2"/>
      <c r="AM201" s="2">
        <v>0</v>
      </c>
      <c r="AN201" s="2">
        <v>0</v>
      </c>
      <c r="AO201" s="2"/>
      <c r="AP201" s="2"/>
      <c r="AQ201" s="2" t="s">
        <v>48</v>
      </c>
      <c r="AR201" s="2" t="s">
        <v>968</v>
      </c>
      <c r="AS201" s="2" t="s">
        <v>1081</v>
      </c>
      <c r="AT201" s="2" t="s">
        <v>1082</v>
      </c>
      <c r="AU201" s="2" t="s">
        <v>1083</v>
      </c>
      <c r="AV201" s="2" t="s">
        <v>869</v>
      </c>
      <c r="AW201" s="2">
        <v>4.4088867720999998</v>
      </c>
      <c r="AX201" s="2">
        <v>50.856796176400003</v>
      </c>
    </row>
    <row r="202" spans="2:50" x14ac:dyDescent="0.25">
      <c r="B202" s="2">
        <v>482</v>
      </c>
      <c r="C202" s="2">
        <v>10001646</v>
      </c>
      <c r="D202" s="2" t="s">
        <v>521</v>
      </c>
      <c r="E202" s="2">
        <v>0</v>
      </c>
      <c r="F202" s="2">
        <v>0</v>
      </c>
      <c r="G202" s="2">
        <v>0</v>
      </c>
      <c r="H202" s="2">
        <v>56</v>
      </c>
      <c r="I202" s="2">
        <v>62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f>SUM(parking_data_1030[[#This Row],[Résidenti]:[Autres]])</f>
        <v>118</v>
      </c>
      <c r="R202" s="2">
        <v>0</v>
      </c>
      <c r="S202" s="2">
        <v>0</v>
      </c>
      <c r="T202" s="2" t="s">
        <v>43</v>
      </c>
      <c r="U202" s="2" t="s">
        <v>64</v>
      </c>
      <c r="V202" s="2" t="s">
        <v>45</v>
      </c>
      <c r="W202" s="2">
        <v>1</v>
      </c>
      <c r="X202" s="2">
        <v>0</v>
      </c>
      <c r="Y202" s="2">
        <v>1</v>
      </c>
      <c r="Z202" s="2">
        <v>0</v>
      </c>
      <c r="AA202" s="2">
        <v>0</v>
      </c>
      <c r="AB202" s="2"/>
      <c r="AC202" s="2">
        <v>0</v>
      </c>
      <c r="AD202" s="2"/>
      <c r="AE202" s="2" t="s">
        <v>106</v>
      </c>
      <c r="AF202" s="2">
        <v>5580</v>
      </c>
      <c r="AG202" s="2">
        <v>93</v>
      </c>
      <c r="AH202" s="2" t="s">
        <v>522</v>
      </c>
      <c r="AI202" s="2" t="s">
        <v>43</v>
      </c>
      <c r="AJ202" s="2">
        <v>37</v>
      </c>
      <c r="AK202" s="2">
        <v>118</v>
      </c>
      <c r="AL202" s="2"/>
      <c r="AM202" s="2">
        <v>0</v>
      </c>
      <c r="AN202" s="2">
        <v>0</v>
      </c>
      <c r="AO202" s="2"/>
      <c r="AP202" s="2"/>
      <c r="AQ202" s="2" t="s">
        <v>48</v>
      </c>
      <c r="AR202" s="2" t="s">
        <v>1214</v>
      </c>
      <c r="AS202" s="2" t="s">
        <v>1081</v>
      </c>
      <c r="AT202" s="2" t="s">
        <v>1082</v>
      </c>
      <c r="AU202" s="2" t="s">
        <v>836</v>
      </c>
      <c r="AV202" s="2" t="s">
        <v>836</v>
      </c>
      <c r="AW202" s="2">
        <v>4.4099974809000004</v>
      </c>
      <c r="AX202" s="2">
        <v>50.857014468300001</v>
      </c>
    </row>
    <row r="203" spans="2:50" x14ac:dyDescent="0.25">
      <c r="B203" s="2">
        <v>276</v>
      </c>
      <c r="C203" s="2">
        <v>2155469</v>
      </c>
      <c r="D203" s="2" t="s">
        <v>451</v>
      </c>
      <c r="E203" s="2">
        <v>19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f>SUM(parking_data_1030[[#This Row],[Résidenti]:[Autres]])</f>
        <v>19</v>
      </c>
      <c r="R203" s="2">
        <v>0</v>
      </c>
      <c r="S203" s="2">
        <v>0</v>
      </c>
      <c r="T203" s="2" t="s">
        <v>43</v>
      </c>
      <c r="U203" s="2" t="s">
        <v>54</v>
      </c>
      <c r="V203" s="2" t="s">
        <v>45</v>
      </c>
      <c r="W203" s="2">
        <v>0</v>
      </c>
      <c r="X203" s="2">
        <v>1</v>
      </c>
      <c r="Y203" s="2">
        <v>0</v>
      </c>
      <c r="Z203" s="2">
        <v>1</v>
      </c>
      <c r="AA203" s="2">
        <v>0</v>
      </c>
      <c r="AB203" s="2"/>
      <c r="AC203" s="2">
        <v>0</v>
      </c>
      <c r="AD203" s="2"/>
      <c r="AE203" s="2" t="s">
        <v>46</v>
      </c>
      <c r="AF203" s="2">
        <v>0</v>
      </c>
      <c r="AG203" s="2">
        <v>0</v>
      </c>
      <c r="AH203" s="2" t="s">
        <v>74</v>
      </c>
      <c r="AI203" s="2" t="s">
        <v>43</v>
      </c>
      <c r="AJ203" s="2">
        <v>0</v>
      </c>
      <c r="AK203" s="2">
        <v>0</v>
      </c>
      <c r="AL203" s="2"/>
      <c r="AM203" s="2">
        <v>0</v>
      </c>
      <c r="AN203" s="2">
        <v>0</v>
      </c>
      <c r="AO203" s="2"/>
      <c r="AP203" s="2"/>
      <c r="AQ203" s="2" t="s">
        <v>48</v>
      </c>
      <c r="AR203" s="2" t="s">
        <v>1100</v>
      </c>
      <c r="AS203" s="2" t="s">
        <v>1325</v>
      </c>
      <c r="AT203" s="2" t="s">
        <v>1326</v>
      </c>
      <c r="AU203" s="2" t="s">
        <v>1324</v>
      </c>
      <c r="AV203" s="2" t="s">
        <v>1137</v>
      </c>
      <c r="AW203" s="2">
        <v>4.3900118761</v>
      </c>
      <c r="AX203" s="2">
        <v>50.854189404800003</v>
      </c>
    </row>
    <row r="204" spans="2:50" x14ac:dyDescent="0.25">
      <c r="B204" s="2">
        <v>426</v>
      </c>
      <c r="C204" s="2">
        <v>3004341</v>
      </c>
      <c r="D204" s="2" t="s">
        <v>672</v>
      </c>
      <c r="E204" s="2">
        <v>31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f>SUM(parking_data_1030[[#This Row],[Résidenti]:[Autres]])</f>
        <v>31</v>
      </c>
      <c r="R204" s="2">
        <v>0</v>
      </c>
      <c r="S204" s="2">
        <v>0</v>
      </c>
      <c r="T204" s="2" t="s">
        <v>43</v>
      </c>
      <c r="U204" s="2" t="s">
        <v>76</v>
      </c>
      <c r="V204" s="2" t="s">
        <v>45</v>
      </c>
      <c r="W204" s="2">
        <v>1</v>
      </c>
      <c r="X204" s="2">
        <v>0</v>
      </c>
      <c r="Y204" s="2">
        <v>0</v>
      </c>
      <c r="Z204" s="2">
        <v>0</v>
      </c>
      <c r="AA204" s="2">
        <v>0</v>
      </c>
      <c r="AB204" s="2"/>
      <c r="AC204" s="2">
        <v>0</v>
      </c>
      <c r="AD204" s="2"/>
      <c r="AE204" s="2" t="s">
        <v>46</v>
      </c>
      <c r="AF204" s="2">
        <v>0</v>
      </c>
      <c r="AG204" s="2">
        <v>0</v>
      </c>
      <c r="AH204" s="2" t="s">
        <v>673</v>
      </c>
      <c r="AI204" s="2" t="s">
        <v>43</v>
      </c>
      <c r="AJ204" s="2">
        <v>0</v>
      </c>
      <c r="AK204" s="2">
        <v>0</v>
      </c>
      <c r="AL204" s="2"/>
      <c r="AM204" s="2">
        <v>0</v>
      </c>
      <c r="AN204" s="2">
        <v>0</v>
      </c>
      <c r="AO204" s="2"/>
      <c r="AP204" s="2"/>
      <c r="AQ204" s="2" t="s">
        <v>48</v>
      </c>
      <c r="AR204" s="2" t="s">
        <v>1307</v>
      </c>
      <c r="AS204" s="2" t="s">
        <v>1545</v>
      </c>
      <c r="AT204" s="2" t="s">
        <v>1546</v>
      </c>
      <c r="AU204" s="2" t="s">
        <v>1547</v>
      </c>
      <c r="AV204" s="2" t="s">
        <v>1170</v>
      </c>
      <c r="AW204" s="2">
        <v>4.3815573038000002</v>
      </c>
      <c r="AX204" s="2">
        <v>50.869582744500001</v>
      </c>
    </row>
    <row r="205" spans="2:50" x14ac:dyDescent="0.25">
      <c r="B205" s="2">
        <v>427</v>
      </c>
      <c r="C205" s="2">
        <v>2131898</v>
      </c>
      <c r="D205" s="2" t="s">
        <v>674</v>
      </c>
      <c r="E205" s="2">
        <v>25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f>SUM(parking_data_1030[[#This Row],[Résidenti]:[Autres]])</f>
        <v>25</v>
      </c>
      <c r="R205" s="2">
        <v>0</v>
      </c>
      <c r="S205" s="2">
        <v>0</v>
      </c>
      <c r="T205" s="2" t="s">
        <v>43</v>
      </c>
      <c r="U205" s="2" t="s">
        <v>110</v>
      </c>
      <c r="V205" s="2" t="s">
        <v>45</v>
      </c>
      <c r="W205" s="2">
        <v>1</v>
      </c>
      <c r="X205" s="2">
        <v>1</v>
      </c>
      <c r="Y205" s="2">
        <v>0</v>
      </c>
      <c r="Z205" s="2">
        <v>0</v>
      </c>
      <c r="AA205" s="2">
        <v>0</v>
      </c>
      <c r="AB205" s="2"/>
      <c r="AC205" s="2">
        <v>0</v>
      </c>
      <c r="AD205" s="2"/>
      <c r="AE205" s="2" t="s">
        <v>46</v>
      </c>
      <c r="AF205" s="2">
        <v>0</v>
      </c>
      <c r="AG205" s="2">
        <v>0</v>
      </c>
      <c r="AH205" s="2" t="s">
        <v>675</v>
      </c>
      <c r="AI205" s="2" t="s">
        <v>43</v>
      </c>
      <c r="AJ205" s="2">
        <v>0</v>
      </c>
      <c r="AK205" s="2">
        <v>0</v>
      </c>
      <c r="AL205" s="2"/>
      <c r="AM205" s="2">
        <v>0</v>
      </c>
      <c r="AN205" s="2">
        <v>0</v>
      </c>
      <c r="AO205" s="2"/>
      <c r="AP205" s="2"/>
      <c r="AQ205" s="2" t="s">
        <v>48</v>
      </c>
      <c r="AR205" s="2" t="s">
        <v>849</v>
      </c>
      <c r="AS205" s="2" t="s">
        <v>1545</v>
      </c>
      <c r="AT205" s="2" t="s">
        <v>1546</v>
      </c>
      <c r="AU205" s="2" t="s">
        <v>1547</v>
      </c>
      <c r="AV205" s="2" t="s">
        <v>1170</v>
      </c>
      <c r="AW205" s="2">
        <v>4.3820801684999999</v>
      </c>
      <c r="AX205" s="2">
        <v>50.869465157199997</v>
      </c>
    </row>
    <row r="206" spans="2:50" x14ac:dyDescent="0.25">
      <c r="B206" s="2">
        <v>30</v>
      </c>
      <c r="C206" s="2">
        <v>2174079</v>
      </c>
      <c r="D206" s="2" t="s">
        <v>770</v>
      </c>
      <c r="E206" s="2">
        <v>24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f>SUM(parking_data_1030[[#This Row],[Résidenti]:[Autres]])</f>
        <v>24</v>
      </c>
      <c r="R206" s="2">
        <v>0</v>
      </c>
      <c r="S206" s="2">
        <v>0</v>
      </c>
      <c r="T206" s="2" t="s">
        <v>43</v>
      </c>
      <c r="U206" s="2" t="s">
        <v>44</v>
      </c>
      <c r="V206" s="2" t="s">
        <v>45</v>
      </c>
      <c r="W206" s="2">
        <v>1</v>
      </c>
      <c r="X206" s="2">
        <v>1</v>
      </c>
      <c r="Y206" s="2">
        <v>0</v>
      </c>
      <c r="Z206" s="2">
        <v>0</v>
      </c>
      <c r="AA206" s="2">
        <v>0</v>
      </c>
      <c r="AB206" s="2"/>
      <c r="AC206" s="2">
        <v>0</v>
      </c>
      <c r="AD206" s="2"/>
      <c r="AE206" s="2" t="s">
        <v>46</v>
      </c>
      <c r="AF206" s="2">
        <v>0</v>
      </c>
      <c r="AG206" s="2">
        <v>0</v>
      </c>
      <c r="AH206" s="2" t="s">
        <v>771</v>
      </c>
      <c r="AI206" s="2" t="s">
        <v>43</v>
      </c>
      <c r="AJ206" s="2">
        <v>0</v>
      </c>
      <c r="AK206" s="2">
        <v>0</v>
      </c>
      <c r="AL206" s="2"/>
      <c r="AM206" s="2">
        <v>0</v>
      </c>
      <c r="AN206" s="2">
        <v>0</v>
      </c>
      <c r="AO206" s="2"/>
      <c r="AP206" s="2"/>
      <c r="AQ206" s="2" t="s">
        <v>48</v>
      </c>
      <c r="AR206" s="2" t="s">
        <v>916</v>
      </c>
      <c r="AS206" s="2" t="s">
        <v>917</v>
      </c>
      <c r="AT206" s="2" t="s">
        <v>918</v>
      </c>
      <c r="AU206" s="2" t="s">
        <v>915</v>
      </c>
      <c r="AV206" s="2" t="s">
        <v>835</v>
      </c>
      <c r="AW206" s="2">
        <v>4.3822567125000003</v>
      </c>
      <c r="AX206" s="2">
        <v>50.871884634099999</v>
      </c>
    </row>
    <row r="207" spans="2:50" x14ac:dyDescent="0.25">
      <c r="B207" s="2">
        <v>31</v>
      </c>
      <c r="C207" s="2">
        <v>2174067</v>
      </c>
      <c r="D207" s="2" t="s">
        <v>772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28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f>SUM(parking_data_1030[[#This Row],[Résidenti]:[Autres]])</f>
        <v>28</v>
      </c>
      <c r="R207" s="2">
        <v>0</v>
      </c>
      <c r="S207" s="2">
        <v>0</v>
      </c>
      <c r="T207" s="2" t="s">
        <v>43</v>
      </c>
      <c r="U207" s="2" t="s">
        <v>115</v>
      </c>
      <c r="V207" s="2" t="s">
        <v>45</v>
      </c>
      <c r="W207" s="2">
        <v>1</v>
      </c>
      <c r="X207" s="2">
        <v>1</v>
      </c>
      <c r="Y207" s="2">
        <v>1</v>
      </c>
      <c r="Z207" s="2">
        <v>0</v>
      </c>
      <c r="AA207" s="2">
        <v>0</v>
      </c>
      <c r="AB207" s="2"/>
      <c r="AC207" s="2">
        <v>0</v>
      </c>
      <c r="AD207" s="3">
        <v>48172</v>
      </c>
      <c r="AE207" s="2" t="s">
        <v>46</v>
      </c>
      <c r="AF207" s="2">
        <v>4764</v>
      </c>
      <c r="AG207" s="2">
        <v>48</v>
      </c>
      <c r="AH207" s="2" t="s">
        <v>773</v>
      </c>
      <c r="AI207" s="2" t="s">
        <v>43</v>
      </c>
      <c r="AJ207" s="2">
        <v>0</v>
      </c>
      <c r="AK207" s="2">
        <v>28</v>
      </c>
      <c r="AL207" s="2"/>
      <c r="AM207" s="2">
        <v>3</v>
      </c>
      <c r="AN207" s="2">
        <v>0</v>
      </c>
      <c r="AO207" s="2" t="s">
        <v>774</v>
      </c>
      <c r="AP207" s="2"/>
      <c r="AQ207" s="2" t="s">
        <v>70</v>
      </c>
      <c r="AR207" s="2" t="s">
        <v>919</v>
      </c>
      <c r="AS207" s="2" t="s">
        <v>917</v>
      </c>
      <c r="AT207" s="2" t="s">
        <v>918</v>
      </c>
      <c r="AU207" s="2" t="s">
        <v>915</v>
      </c>
      <c r="AV207" s="2" t="s">
        <v>835</v>
      </c>
      <c r="AW207" s="2">
        <v>4.3826543972999996</v>
      </c>
      <c r="AX207" s="2">
        <v>50.872057703199999</v>
      </c>
    </row>
    <row r="208" spans="2:50" x14ac:dyDescent="0.25">
      <c r="B208" s="2">
        <v>32</v>
      </c>
      <c r="C208" s="2">
        <v>2174089</v>
      </c>
      <c r="D208" s="2" t="s">
        <v>130</v>
      </c>
      <c r="E208" s="2">
        <v>11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f>SUM(parking_data_1030[[#This Row],[Résidenti]:[Autres]])</f>
        <v>11</v>
      </c>
      <c r="R208" s="2">
        <v>0</v>
      </c>
      <c r="S208" s="2">
        <v>0</v>
      </c>
      <c r="T208" s="2" t="s">
        <v>43</v>
      </c>
      <c r="U208" s="2" t="s">
        <v>44</v>
      </c>
      <c r="V208" s="2" t="s">
        <v>45</v>
      </c>
      <c r="W208" s="2">
        <v>1</v>
      </c>
      <c r="X208" s="2">
        <v>1</v>
      </c>
      <c r="Y208" s="2">
        <v>0</v>
      </c>
      <c r="Z208" s="2">
        <v>0</v>
      </c>
      <c r="AA208" s="2">
        <v>0</v>
      </c>
      <c r="AB208" s="2" t="s">
        <v>60</v>
      </c>
      <c r="AC208" s="2">
        <v>0</v>
      </c>
      <c r="AD208" s="2"/>
      <c r="AE208" s="2" t="s">
        <v>46</v>
      </c>
      <c r="AF208" s="2">
        <v>0</v>
      </c>
      <c r="AG208" s="2">
        <v>0</v>
      </c>
      <c r="AH208" s="2"/>
      <c r="AI208" s="2" t="s">
        <v>43</v>
      </c>
      <c r="AJ208" s="2">
        <v>0</v>
      </c>
      <c r="AK208" s="2">
        <v>0</v>
      </c>
      <c r="AL208" s="2"/>
      <c r="AM208" s="2">
        <v>0</v>
      </c>
      <c r="AN208" s="2">
        <v>0</v>
      </c>
      <c r="AO208" s="2"/>
      <c r="AP208" s="2"/>
      <c r="AQ208" s="2" t="s">
        <v>48</v>
      </c>
      <c r="AR208" s="2" t="s">
        <v>857</v>
      </c>
      <c r="AS208" s="2" t="s">
        <v>917</v>
      </c>
      <c r="AT208" s="2" t="s">
        <v>918</v>
      </c>
      <c r="AU208" s="2" t="s">
        <v>915</v>
      </c>
      <c r="AV208" s="2" t="s">
        <v>835</v>
      </c>
      <c r="AW208" s="2">
        <v>4.3830976102000001</v>
      </c>
      <c r="AX208" s="2">
        <v>50.872248251800002</v>
      </c>
    </row>
    <row r="209" spans="2:50" x14ac:dyDescent="0.25">
      <c r="B209" s="2">
        <v>320</v>
      </c>
      <c r="C209" s="2">
        <v>2152806</v>
      </c>
      <c r="D209" s="2" t="s">
        <v>355</v>
      </c>
      <c r="E209" s="2">
        <v>10</v>
      </c>
      <c r="F209" s="2">
        <v>0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f>SUM(parking_data_1030[[#This Row],[Résidenti]:[Autres]])</f>
        <v>10</v>
      </c>
      <c r="R209" s="2">
        <v>0</v>
      </c>
      <c r="S209" s="2">
        <v>0</v>
      </c>
      <c r="T209" s="2" t="s">
        <v>43</v>
      </c>
      <c r="U209" s="2" t="s">
        <v>54</v>
      </c>
      <c r="V209" s="2" t="s">
        <v>45</v>
      </c>
      <c r="W209" s="2">
        <v>0</v>
      </c>
      <c r="X209" s="2">
        <v>1</v>
      </c>
      <c r="Y209" s="2">
        <v>0</v>
      </c>
      <c r="Z209" s="2">
        <v>1</v>
      </c>
      <c r="AA209" s="2">
        <v>0</v>
      </c>
      <c r="AB209" s="2"/>
      <c r="AC209" s="2">
        <v>0</v>
      </c>
      <c r="AD209" s="2"/>
      <c r="AE209" s="2" t="s">
        <v>46</v>
      </c>
      <c r="AF209" s="2">
        <v>0</v>
      </c>
      <c r="AG209" s="2">
        <v>0</v>
      </c>
      <c r="AH209" s="2" t="s">
        <v>55</v>
      </c>
      <c r="AI209" s="2" t="s">
        <v>43</v>
      </c>
      <c r="AJ209" s="2">
        <v>0</v>
      </c>
      <c r="AK209" s="2">
        <v>0</v>
      </c>
      <c r="AL209" s="2"/>
      <c r="AM209" s="2">
        <v>0</v>
      </c>
      <c r="AN209" s="2">
        <v>0</v>
      </c>
      <c r="AO209" s="2"/>
      <c r="AP209" s="2"/>
      <c r="AQ209" s="2" t="s">
        <v>48</v>
      </c>
      <c r="AR209" s="2" t="s">
        <v>1374</v>
      </c>
      <c r="AS209" s="2" t="s">
        <v>1401</v>
      </c>
      <c r="AT209" s="2" t="s">
        <v>1402</v>
      </c>
      <c r="AU209" s="2" t="s">
        <v>1403</v>
      </c>
      <c r="AV209" s="2" t="s">
        <v>1137</v>
      </c>
      <c r="AW209" s="2">
        <v>4.3886364170999999</v>
      </c>
      <c r="AX209" s="2">
        <v>50.859009081000004</v>
      </c>
    </row>
    <row r="210" spans="2:50" x14ac:dyDescent="0.25">
      <c r="B210" s="2">
        <v>17</v>
      </c>
      <c r="C210" s="2">
        <v>10002923</v>
      </c>
      <c r="D210" s="2" t="s">
        <v>777</v>
      </c>
      <c r="E210" s="2">
        <v>0</v>
      </c>
      <c r="F210" s="2">
        <v>0</v>
      </c>
      <c r="G210" s="2">
        <v>0</v>
      </c>
      <c r="H210" s="2">
        <v>22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f>SUM(parking_data_1030[[#This Row],[Résidenti]:[Autres]])</f>
        <v>22</v>
      </c>
      <c r="R210" s="2">
        <v>0</v>
      </c>
      <c r="S210" s="2">
        <v>0</v>
      </c>
      <c r="T210" s="2" t="s">
        <v>43</v>
      </c>
      <c r="U210" s="2" t="s">
        <v>54</v>
      </c>
      <c r="V210" s="2" t="s">
        <v>45</v>
      </c>
      <c r="W210" s="2">
        <v>1</v>
      </c>
      <c r="X210" s="2">
        <v>1</v>
      </c>
      <c r="Y210" s="2">
        <v>1</v>
      </c>
      <c r="Z210" s="2">
        <v>0</v>
      </c>
      <c r="AA210" s="2">
        <v>1</v>
      </c>
      <c r="AB210" s="2"/>
      <c r="AC210" s="2">
        <v>0</v>
      </c>
      <c r="AD210" s="3">
        <v>45269</v>
      </c>
      <c r="AE210" s="2" t="s">
        <v>52</v>
      </c>
      <c r="AF210" s="2">
        <v>4471</v>
      </c>
      <c r="AG210" s="2">
        <v>24</v>
      </c>
      <c r="AH210" s="2" t="s">
        <v>778</v>
      </c>
      <c r="AI210" s="2" t="s">
        <v>43</v>
      </c>
      <c r="AJ210" s="2">
        <v>2</v>
      </c>
      <c r="AK210" s="2">
        <v>22</v>
      </c>
      <c r="AL210" s="2" t="s">
        <v>779</v>
      </c>
      <c r="AM210" s="2">
        <v>3</v>
      </c>
      <c r="AN210" s="2">
        <v>1</v>
      </c>
      <c r="AO210" s="2" t="s">
        <v>780</v>
      </c>
      <c r="AP210" s="2" t="s">
        <v>781</v>
      </c>
      <c r="AQ210" s="2" t="s">
        <v>70</v>
      </c>
      <c r="AR210" s="2" t="s">
        <v>1223</v>
      </c>
      <c r="AS210" s="2" t="s">
        <v>882</v>
      </c>
      <c r="AT210" s="2" t="s">
        <v>883</v>
      </c>
      <c r="AU210" s="2" t="s">
        <v>1302</v>
      </c>
      <c r="AV210" s="2" t="s">
        <v>835</v>
      </c>
      <c r="AW210" s="2">
        <v>4.3855615033999999</v>
      </c>
      <c r="AX210" s="2">
        <v>50.878238032900001</v>
      </c>
    </row>
    <row r="211" spans="2:50" x14ac:dyDescent="0.25">
      <c r="B211" s="2">
        <v>19</v>
      </c>
      <c r="C211" s="2">
        <v>10002922</v>
      </c>
      <c r="D211" s="2" t="s">
        <v>783</v>
      </c>
      <c r="E211" s="2">
        <v>51</v>
      </c>
      <c r="F211" s="2">
        <v>0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f>SUM(parking_data_1030[[#This Row],[Résidenti]:[Autres]])</f>
        <v>51</v>
      </c>
      <c r="R211" s="2">
        <v>0</v>
      </c>
      <c r="S211" s="2">
        <v>0</v>
      </c>
      <c r="T211" s="2" t="s">
        <v>43</v>
      </c>
      <c r="U211" s="2" t="s">
        <v>44</v>
      </c>
      <c r="V211" s="2" t="s">
        <v>45</v>
      </c>
      <c r="W211" s="2">
        <v>1</v>
      </c>
      <c r="X211" s="2">
        <v>0</v>
      </c>
      <c r="Y211" s="2">
        <v>0</v>
      </c>
      <c r="Z211" s="2">
        <v>0</v>
      </c>
      <c r="AA211" s="2">
        <v>0</v>
      </c>
      <c r="AB211" s="2"/>
      <c r="AC211" s="2">
        <v>0</v>
      </c>
      <c r="AD211" s="2"/>
      <c r="AE211" s="2" t="s">
        <v>52</v>
      </c>
      <c r="AF211" s="2">
        <v>0</v>
      </c>
      <c r="AG211" s="2">
        <v>0</v>
      </c>
      <c r="AH211" s="2"/>
      <c r="AI211" s="2" t="s">
        <v>43</v>
      </c>
      <c r="AJ211" s="2">
        <v>0</v>
      </c>
      <c r="AK211" s="2">
        <v>0</v>
      </c>
      <c r="AL211" s="2"/>
      <c r="AM211" s="2">
        <v>0</v>
      </c>
      <c r="AN211" s="2">
        <v>0</v>
      </c>
      <c r="AO211" s="2"/>
      <c r="AP211" s="2"/>
      <c r="AQ211" s="2" t="s">
        <v>48</v>
      </c>
      <c r="AR211" s="2" t="s">
        <v>881</v>
      </c>
      <c r="AS211" s="2" t="s">
        <v>882</v>
      </c>
      <c r="AT211" s="2" t="s">
        <v>883</v>
      </c>
      <c r="AU211" s="2" t="s">
        <v>880</v>
      </c>
      <c r="AV211" s="2" t="s">
        <v>835</v>
      </c>
      <c r="AW211" s="2">
        <v>4.3859783257</v>
      </c>
      <c r="AX211" s="2">
        <v>50.877639703200003</v>
      </c>
    </row>
    <row r="212" spans="2:50" x14ac:dyDescent="0.25">
      <c r="B212" s="2">
        <v>76</v>
      </c>
      <c r="C212" s="2">
        <v>2132350</v>
      </c>
      <c r="D212" s="2" t="s">
        <v>703</v>
      </c>
      <c r="E212" s="2">
        <v>15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f>SUM(parking_data_1030[[#This Row],[Résidenti]:[Autres]])</f>
        <v>15</v>
      </c>
      <c r="R212" s="2">
        <v>0</v>
      </c>
      <c r="S212" s="2">
        <v>0</v>
      </c>
      <c r="T212" s="2" t="s">
        <v>43</v>
      </c>
      <c r="U212" s="2" t="s">
        <v>76</v>
      </c>
      <c r="V212" s="2" t="s">
        <v>59</v>
      </c>
      <c r="W212" s="2">
        <v>1</v>
      </c>
      <c r="X212" s="2">
        <v>1</v>
      </c>
      <c r="Y212" s="2">
        <v>0</v>
      </c>
      <c r="Z212" s="2">
        <v>0</v>
      </c>
      <c r="AA212" s="2">
        <v>0</v>
      </c>
      <c r="AB212" s="2"/>
      <c r="AC212" s="2">
        <v>0</v>
      </c>
      <c r="AD212" s="3">
        <v>47811</v>
      </c>
      <c r="AE212" s="2" t="s">
        <v>106</v>
      </c>
      <c r="AF212" s="2">
        <v>0</v>
      </c>
      <c r="AG212" s="2">
        <v>0</v>
      </c>
      <c r="AH212" s="2"/>
      <c r="AI212" s="2" t="s">
        <v>43</v>
      </c>
      <c r="AJ212" s="2">
        <v>0</v>
      </c>
      <c r="AK212" s="2">
        <v>0</v>
      </c>
      <c r="AL212" s="2"/>
      <c r="AM212" s="2">
        <v>0</v>
      </c>
      <c r="AN212" s="2">
        <v>0</v>
      </c>
      <c r="AO212" s="2"/>
      <c r="AP212" s="2"/>
      <c r="AQ212" s="2" t="s">
        <v>48</v>
      </c>
      <c r="AR212" s="2" t="s">
        <v>968</v>
      </c>
      <c r="AS212" s="2" t="s">
        <v>1020</v>
      </c>
      <c r="AT212" s="2" t="s">
        <v>1021</v>
      </c>
      <c r="AU212" s="2" t="s">
        <v>1022</v>
      </c>
      <c r="AV212" s="2" t="s">
        <v>1000</v>
      </c>
      <c r="AW212" s="2">
        <v>4.3920757408000002</v>
      </c>
      <c r="AX212" s="2">
        <v>50.8681165932</v>
      </c>
    </row>
    <row r="213" spans="2:50" x14ac:dyDescent="0.25">
      <c r="B213" s="2">
        <v>395</v>
      </c>
      <c r="C213" s="2">
        <v>2133114</v>
      </c>
      <c r="D213" s="2" t="s">
        <v>787</v>
      </c>
      <c r="E213" s="2">
        <v>0</v>
      </c>
      <c r="F213" s="2">
        <v>0</v>
      </c>
      <c r="G213" s="2">
        <v>0</v>
      </c>
      <c r="H213" s="2">
        <v>0</v>
      </c>
      <c r="I213" s="2">
        <v>86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f>SUM(parking_data_1030[[#This Row],[Résidenti]:[Autres]])</f>
        <v>86</v>
      </c>
      <c r="R213" s="2">
        <v>86</v>
      </c>
      <c r="S213" s="2">
        <v>86</v>
      </c>
      <c r="T213" s="2" t="s">
        <v>43</v>
      </c>
      <c r="U213" s="2" t="s">
        <v>64</v>
      </c>
      <c r="V213" s="2" t="s">
        <v>45</v>
      </c>
      <c r="W213" s="2">
        <v>1</v>
      </c>
      <c r="X213" s="2">
        <v>0</v>
      </c>
      <c r="Y213" s="2">
        <v>1</v>
      </c>
      <c r="Z213" s="2">
        <v>0</v>
      </c>
      <c r="AA213" s="2">
        <v>1</v>
      </c>
      <c r="AB213" s="2"/>
      <c r="AC213" s="2">
        <v>68</v>
      </c>
      <c r="AD213" s="2"/>
      <c r="AE213" s="2" t="s">
        <v>46</v>
      </c>
      <c r="AF213" s="2">
        <v>0</v>
      </c>
      <c r="AG213" s="2">
        <v>0</v>
      </c>
      <c r="AH213" s="2"/>
      <c r="AI213" s="2" t="s">
        <v>43</v>
      </c>
      <c r="AJ213" s="2">
        <v>0</v>
      </c>
      <c r="AK213" s="2">
        <v>86</v>
      </c>
      <c r="AL213" s="2"/>
      <c r="AM213" s="2">
        <v>0</v>
      </c>
      <c r="AN213" s="2">
        <v>0</v>
      </c>
      <c r="AO213" s="2"/>
      <c r="AP213" s="2"/>
      <c r="AQ213" s="2" t="s">
        <v>48</v>
      </c>
      <c r="AR213" s="2" t="s">
        <v>1080</v>
      </c>
      <c r="AS213" s="2" t="s">
        <v>1517</v>
      </c>
      <c r="AT213" s="2" t="s">
        <v>1518</v>
      </c>
      <c r="AU213" s="2" t="s">
        <v>1514</v>
      </c>
      <c r="AV213" s="2" t="s">
        <v>1063</v>
      </c>
      <c r="AW213" s="2">
        <v>4.3787181766999996</v>
      </c>
      <c r="AX213" s="2">
        <v>50.864991376500001</v>
      </c>
    </row>
    <row r="214" spans="2:50" x14ac:dyDescent="0.25">
      <c r="B214" s="2">
        <v>396</v>
      </c>
      <c r="C214" s="2">
        <v>2133111</v>
      </c>
      <c r="D214" s="2" t="s">
        <v>596</v>
      </c>
      <c r="E214" s="2">
        <v>0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24</v>
      </c>
      <c r="N214" s="2">
        <v>0</v>
      </c>
      <c r="O214" s="2">
        <v>0</v>
      </c>
      <c r="P214" s="2">
        <v>0</v>
      </c>
      <c r="Q214" s="2">
        <f>SUM(parking_data_1030[[#This Row],[Résidenti]:[Autres]])</f>
        <v>24</v>
      </c>
      <c r="R214" s="2">
        <v>0</v>
      </c>
      <c r="S214" s="2">
        <v>0</v>
      </c>
      <c r="T214" s="2" t="s">
        <v>43</v>
      </c>
      <c r="U214" s="2" t="s">
        <v>64</v>
      </c>
      <c r="V214" s="2" t="s">
        <v>59</v>
      </c>
      <c r="W214" s="2">
        <v>0</v>
      </c>
      <c r="X214" s="2">
        <v>0</v>
      </c>
      <c r="Y214" s="2">
        <v>0</v>
      </c>
      <c r="Z214" s="2">
        <v>1</v>
      </c>
      <c r="AA214" s="2">
        <v>0</v>
      </c>
      <c r="AB214" s="2"/>
      <c r="AC214" s="2">
        <v>0</v>
      </c>
      <c r="AD214" s="2"/>
      <c r="AE214" s="2" t="s">
        <v>46</v>
      </c>
      <c r="AF214" s="2">
        <v>0</v>
      </c>
      <c r="AG214" s="2">
        <v>0</v>
      </c>
      <c r="AH214" s="2" t="s">
        <v>597</v>
      </c>
      <c r="AI214" s="2" t="s">
        <v>43</v>
      </c>
      <c r="AJ214" s="2">
        <v>0</v>
      </c>
      <c r="AK214" s="2">
        <v>24</v>
      </c>
      <c r="AL214" s="2" t="s">
        <v>598</v>
      </c>
      <c r="AM214" s="2">
        <v>1</v>
      </c>
      <c r="AN214" s="2">
        <v>0</v>
      </c>
      <c r="AO214" s="2" t="s">
        <v>599</v>
      </c>
      <c r="AP214" s="2"/>
      <c r="AQ214" s="2" t="s">
        <v>70</v>
      </c>
      <c r="AR214" s="2" t="s">
        <v>845</v>
      </c>
      <c r="AS214" s="2" t="s">
        <v>1517</v>
      </c>
      <c r="AT214" s="2" t="s">
        <v>1518</v>
      </c>
      <c r="AU214" s="2" t="s">
        <v>1514</v>
      </c>
      <c r="AV214" s="2" t="s">
        <v>1063</v>
      </c>
      <c r="AW214" s="2">
        <v>4.3783926284000003</v>
      </c>
      <c r="AX214" s="2">
        <v>50.865723684800003</v>
      </c>
    </row>
    <row r="215" spans="2:50" x14ac:dyDescent="0.25">
      <c r="B215" s="2">
        <v>399</v>
      </c>
      <c r="C215" s="2">
        <v>2133108</v>
      </c>
      <c r="D215" s="2" t="s">
        <v>602</v>
      </c>
      <c r="E215" s="2">
        <v>0</v>
      </c>
      <c r="F215" s="2">
        <v>0</v>
      </c>
      <c r="G215" s="2">
        <v>0</v>
      </c>
      <c r="H215" s="2">
        <v>1</v>
      </c>
      <c r="I215" s="2">
        <v>20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f>SUM(parking_data_1030[[#This Row],[Résidenti]:[Autres]])</f>
        <v>21</v>
      </c>
      <c r="R215" s="2">
        <v>0</v>
      </c>
      <c r="S215" s="2">
        <v>0</v>
      </c>
      <c r="T215" s="2" t="s">
        <v>43</v>
      </c>
      <c r="U215" s="2" t="s">
        <v>64</v>
      </c>
      <c r="V215" s="2" t="s">
        <v>45</v>
      </c>
      <c r="W215" s="2">
        <v>1</v>
      </c>
      <c r="X215" s="2">
        <v>1</v>
      </c>
      <c r="Y215" s="2">
        <v>1</v>
      </c>
      <c r="Z215" s="2">
        <v>0</v>
      </c>
      <c r="AA215" s="2">
        <v>1</v>
      </c>
      <c r="AB215" s="2"/>
      <c r="AC215" s="2">
        <v>0</v>
      </c>
      <c r="AD215" s="3">
        <v>46749</v>
      </c>
      <c r="AE215" s="2" t="s">
        <v>46</v>
      </c>
      <c r="AF215" s="2">
        <v>0</v>
      </c>
      <c r="AG215" s="2">
        <v>0</v>
      </c>
      <c r="AH215" s="2" t="s">
        <v>603</v>
      </c>
      <c r="AI215" s="2" t="s">
        <v>43</v>
      </c>
      <c r="AJ215" s="2">
        <v>0</v>
      </c>
      <c r="AK215" s="2">
        <v>21</v>
      </c>
      <c r="AL215" s="2" t="s">
        <v>604</v>
      </c>
      <c r="AM215" s="2">
        <v>3</v>
      </c>
      <c r="AN215" s="2">
        <v>1</v>
      </c>
      <c r="AO215" s="2" t="s">
        <v>605</v>
      </c>
      <c r="AP215" s="2" t="s">
        <v>606</v>
      </c>
      <c r="AQ215" s="2" t="s">
        <v>70</v>
      </c>
      <c r="AR215" s="2" t="s">
        <v>990</v>
      </c>
      <c r="AS215" s="2" t="s">
        <v>1517</v>
      </c>
      <c r="AT215" s="2" t="s">
        <v>1518</v>
      </c>
      <c r="AU215" s="2" t="s">
        <v>1514</v>
      </c>
      <c r="AV215" s="2" t="s">
        <v>1063</v>
      </c>
      <c r="AW215" s="2">
        <v>4.3784070548000003</v>
      </c>
      <c r="AX215" s="2">
        <v>50.866364653799998</v>
      </c>
    </row>
    <row r="216" spans="2:50" x14ac:dyDescent="0.25">
      <c r="B216" s="2">
        <v>400</v>
      </c>
      <c r="C216" s="2">
        <v>2162330</v>
      </c>
      <c r="D216" s="2" t="s">
        <v>818</v>
      </c>
      <c r="E216" s="2">
        <v>0</v>
      </c>
      <c r="F216" s="2">
        <v>0</v>
      </c>
      <c r="G216" s="2">
        <v>0</v>
      </c>
      <c r="H216" s="2">
        <v>0</v>
      </c>
      <c r="I216" s="2">
        <v>34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f>SUM(parking_data_1030[[#This Row],[Résidenti]:[Autres]])</f>
        <v>34</v>
      </c>
      <c r="R216" s="2">
        <v>20</v>
      </c>
      <c r="S216" s="2">
        <v>20</v>
      </c>
      <c r="T216" s="2" t="s">
        <v>43</v>
      </c>
      <c r="U216" s="2" t="s">
        <v>64</v>
      </c>
      <c r="V216" s="2" t="s">
        <v>45</v>
      </c>
      <c r="W216" s="2">
        <v>1</v>
      </c>
      <c r="X216" s="2">
        <v>1</v>
      </c>
      <c r="Y216" s="2">
        <v>1</v>
      </c>
      <c r="Z216" s="2">
        <v>0</v>
      </c>
      <c r="AA216" s="2">
        <v>1</v>
      </c>
      <c r="AB216" s="2"/>
      <c r="AC216" s="2">
        <v>100</v>
      </c>
      <c r="AD216" s="2"/>
      <c r="AE216" s="2" t="s">
        <v>46</v>
      </c>
      <c r="AF216" s="2">
        <v>0</v>
      </c>
      <c r="AG216" s="2">
        <v>0</v>
      </c>
      <c r="AH216" s="2"/>
      <c r="AI216" s="2" t="s">
        <v>43</v>
      </c>
      <c r="AJ216" s="2">
        <v>0</v>
      </c>
      <c r="AK216" s="2">
        <v>34</v>
      </c>
      <c r="AL216" s="2"/>
      <c r="AM216" s="2">
        <v>0</v>
      </c>
      <c r="AN216" s="2">
        <v>0</v>
      </c>
      <c r="AO216" s="2"/>
      <c r="AP216" s="2"/>
      <c r="AQ216" s="2" t="s">
        <v>48</v>
      </c>
      <c r="AR216" s="2" t="s">
        <v>1521</v>
      </c>
      <c r="AS216" s="2" t="s">
        <v>1517</v>
      </c>
      <c r="AT216" s="2" t="s">
        <v>1518</v>
      </c>
      <c r="AU216" s="2" t="s">
        <v>1522</v>
      </c>
      <c r="AV216" s="2" t="s">
        <v>1063</v>
      </c>
      <c r="AW216" s="2">
        <v>4.3779186270999997</v>
      </c>
      <c r="AX216" s="2">
        <v>50.867081605899997</v>
      </c>
    </row>
    <row r="217" spans="2:50" x14ac:dyDescent="0.25">
      <c r="B217" s="2">
        <v>442</v>
      </c>
      <c r="C217" s="2">
        <v>2159442</v>
      </c>
      <c r="D217" s="2" t="s">
        <v>649</v>
      </c>
      <c r="E217" s="2">
        <v>11</v>
      </c>
      <c r="F217" s="2">
        <v>0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f>SUM(parking_data_1030[[#This Row],[Résidenti]:[Autres]])</f>
        <v>11</v>
      </c>
      <c r="R217" s="2">
        <v>0</v>
      </c>
      <c r="S217" s="2">
        <v>0</v>
      </c>
      <c r="T217" s="2" t="s">
        <v>43</v>
      </c>
      <c r="U217" s="2" t="s">
        <v>64</v>
      </c>
      <c r="V217" s="2" t="s">
        <v>45</v>
      </c>
      <c r="W217" s="2">
        <v>1</v>
      </c>
      <c r="X217" s="2">
        <v>1</v>
      </c>
      <c r="Y217" s="2">
        <v>0</v>
      </c>
      <c r="Z217" s="2">
        <v>0</v>
      </c>
      <c r="AA217" s="2">
        <v>0</v>
      </c>
      <c r="AB217" s="2"/>
      <c r="AC217" s="2">
        <v>0</v>
      </c>
      <c r="AD217" s="2"/>
      <c r="AE217" s="2" t="s">
        <v>46</v>
      </c>
      <c r="AF217" s="2">
        <v>0</v>
      </c>
      <c r="AG217" s="2">
        <v>0</v>
      </c>
      <c r="AH217" s="2"/>
      <c r="AI217" s="2" t="s">
        <v>43</v>
      </c>
      <c r="AJ217" s="2">
        <v>0</v>
      </c>
      <c r="AK217" s="2">
        <v>0</v>
      </c>
      <c r="AL217" s="2"/>
      <c r="AM217" s="2">
        <v>0</v>
      </c>
      <c r="AN217" s="2">
        <v>0</v>
      </c>
      <c r="AO217" s="2"/>
      <c r="AP217" s="2"/>
      <c r="AQ217" s="2" t="s">
        <v>48</v>
      </c>
      <c r="AR217" s="2" t="s">
        <v>912</v>
      </c>
      <c r="AS217" s="2" t="s">
        <v>1564</v>
      </c>
      <c r="AT217" s="2" t="s">
        <v>1565</v>
      </c>
      <c r="AU217" s="2" t="s">
        <v>1566</v>
      </c>
      <c r="AV217" s="2" t="s">
        <v>911</v>
      </c>
      <c r="AW217" s="2">
        <v>4.3609692972999996</v>
      </c>
      <c r="AX217" s="2">
        <v>50.866423903200001</v>
      </c>
    </row>
    <row r="218" spans="2:50" x14ac:dyDescent="0.25">
      <c r="B218" s="2">
        <v>443</v>
      </c>
      <c r="C218" s="2">
        <v>2159418</v>
      </c>
      <c r="D218" s="2" t="s">
        <v>650</v>
      </c>
      <c r="E218" s="2">
        <v>0</v>
      </c>
      <c r="F218" s="2">
        <v>0</v>
      </c>
      <c r="G218" s="2">
        <v>0</v>
      </c>
      <c r="H218" s="2">
        <v>0</v>
      </c>
      <c r="I218" s="2">
        <v>0</v>
      </c>
      <c r="J218" s="2">
        <v>24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f>SUM(parking_data_1030[[#This Row],[Résidenti]:[Autres]])</f>
        <v>24</v>
      </c>
      <c r="R218" s="2">
        <v>0</v>
      </c>
      <c r="S218" s="2">
        <v>0</v>
      </c>
      <c r="T218" s="2" t="s">
        <v>43</v>
      </c>
      <c r="U218" s="2" t="s">
        <v>58</v>
      </c>
      <c r="V218" s="2" t="s">
        <v>45</v>
      </c>
      <c r="W218" s="2">
        <v>1</v>
      </c>
      <c r="X218" s="2">
        <v>1</v>
      </c>
      <c r="Y218" s="2">
        <v>0</v>
      </c>
      <c r="Z218" s="2">
        <v>0</v>
      </c>
      <c r="AA218" s="2">
        <v>0</v>
      </c>
      <c r="AB218" s="2"/>
      <c r="AC218" s="2">
        <v>0</v>
      </c>
      <c r="AD218" s="2"/>
      <c r="AE218" s="2" t="s">
        <v>46</v>
      </c>
      <c r="AF218" s="2">
        <v>0</v>
      </c>
      <c r="AG218" s="2">
        <v>0</v>
      </c>
      <c r="AH218" s="2" t="s">
        <v>651</v>
      </c>
      <c r="AI218" s="2" t="s">
        <v>43</v>
      </c>
      <c r="AJ218" s="2">
        <v>0</v>
      </c>
      <c r="AK218" s="2">
        <v>24</v>
      </c>
      <c r="AL218" s="2" t="s">
        <v>652</v>
      </c>
      <c r="AM218" s="2">
        <v>0</v>
      </c>
      <c r="AN218" s="2">
        <v>0</v>
      </c>
      <c r="AO218" s="2"/>
      <c r="AP218" s="2"/>
      <c r="AQ218" s="2" t="s">
        <v>48</v>
      </c>
      <c r="AR218" s="2" t="s">
        <v>1567</v>
      </c>
      <c r="AS218" s="2" t="s">
        <v>1564</v>
      </c>
      <c r="AT218" s="2" t="s">
        <v>1565</v>
      </c>
      <c r="AU218" s="2" t="s">
        <v>1568</v>
      </c>
      <c r="AV218" s="2" t="s">
        <v>911</v>
      </c>
      <c r="AW218" s="2">
        <v>4.3608359934000003</v>
      </c>
      <c r="AX218" s="2">
        <v>50.867142817000001</v>
      </c>
    </row>
    <row r="219" spans="2:50" x14ac:dyDescent="0.25">
      <c r="B219" s="2">
        <v>444</v>
      </c>
      <c r="C219" s="2">
        <v>2159422</v>
      </c>
      <c r="D219" s="2" t="s">
        <v>623</v>
      </c>
      <c r="E219" s="2">
        <v>0</v>
      </c>
      <c r="F219" s="2">
        <v>24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f>SUM(parking_data_1030[[#This Row],[Résidenti]:[Autres]])</f>
        <v>24</v>
      </c>
      <c r="R219" s="2">
        <v>0</v>
      </c>
      <c r="S219" s="2">
        <v>0</v>
      </c>
      <c r="T219" s="2" t="s">
        <v>43</v>
      </c>
      <c r="U219" s="2" t="s">
        <v>44</v>
      </c>
      <c r="V219" s="2" t="s">
        <v>45</v>
      </c>
      <c r="W219" s="2">
        <v>1</v>
      </c>
      <c r="X219" s="2">
        <v>1</v>
      </c>
      <c r="Y219" s="2">
        <v>0</v>
      </c>
      <c r="Z219" s="2">
        <v>0</v>
      </c>
      <c r="AA219" s="2">
        <v>0</v>
      </c>
      <c r="AB219" s="2"/>
      <c r="AC219" s="2">
        <v>0</v>
      </c>
      <c r="AD219" s="3">
        <v>46222</v>
      </c>
      <c r="AE219" s="2" t="s">
        <v>46</v>
      </c>
      <c r="AF219" s="2">
        <v>0</v>
      </c>
      <c r="AG219" s="2">
        <v>0</v>
      </c>
      <c r="AH219" s="2" t="s">
        <v>624</v>
      </c>
      <c r="AI219" s="2" t="s">
        <v>43</v>
      </c>
      <c r="AJ219" s="2">
        <v>0</v>
      </c>
      <c r="AK219" s="2">
        <v>24</v>
      </c>
      <c r="AL219" s="2"/>
      <c r="AM219" s="2">
        <v>3</v>
      </c>
      <c r="AN219" s="2">
        <v>1</v>
      </c>
      <c r="AO219" s="2" t="s">
        <v>625</v>
      </c>
      <c r="AP219" s="2" t="s">
        <v>626</v>
      </c>
      <c r="AQ219" s="2" t="s">
        <v>70</v>
      </c>
      <c r="AR219" s="2" t="s">
        <v>1194</v>
      </c>
      <c r="AS219" s="2" t="s">
        <v>1564</v>
      </c>
      <c r="AT219" s="2" t="s">
        <v>1565</v>
      </c>
      <c r="AU219" s="2" t="s">
        <v>1568</v>
      </c>
      <c r="AV219" s="2" t="s">
        <v>911</v>
      </c>
      <c r="AW219" s="2">
        <v>4.3606560728000003</v>
      </c>
      <c r="AX219" s="2">
        <v>50.866606705199999</v>
      </c>
    </row>
    <row r="220" spans="2:50" x14ac:dyDescent="0.25">
      <c r="B220" s="2">
        <v>342</v>
      </c>
      <c r="C220" s="2">
        <v>2145771</v>
      </c>
      <c r="D220" s="2" t="s">
        <v>337</v>
      </c>
      <c r="E220" s="2">
        <v>0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42</v>
      </c>
      <c r="P220" s="2">
        <v>0</v>
      </c>
      <c r="Q220" s="2">
        <f>SUM(parking_data_1030[[#This Row],[Résidenti]:[Autres]])</f>
        <v>42</v>
      </c>
      <c r="R220" s="2">
        <v>42</v>
      </c>
      <c r="S220" s="2">
        <v>0</v>
      </c>
      <c r="T220" s="2" t="s">
        <v>43</v>
      </c>
      <c r="U220" s="2" t="s">
        <v>44</v>
      </c>
      <c r="V220" s="2" t="s">
        <v>45</v>
      </c>
      <c r="W220" s="2">
        <v>1</v>
      </c>
      <c r="X220" s="2">
        <v>1</v>
      </c>
      <c r="Y220" s="2">
        <v>0</v>
      </c>
      <c r="Z220" s="2">
        <v>0</v>
      </c>
      <c r="AA220" s="2">
        <v>0</v>
      </c>
      <c r="AB220" s="2"/>
      <c r="AC220" s="2">
        <v>0</v>
      </c>
      <c r="AD220" s="3">
        <v>46441</v>
      </c>
      <c r="AE220" s="2"/>
      <c r="AF220" s="2">
        <v>0</v>
      </c>
      <c r="AG220" s="2">
        <v>0</v>
      </c>
      <c r="AH220" s="2" t="s">
        <v>338</v>
      </c>
      <c r="AI220" s="2" t="s">
        <v>43</v>
      </c>
      <c r="AJ220" s="2">
        <v>0</v>
      </c>
      <c r="AK220" s="2">
        <v>42</v>
      </c>
      <c r="AL220" s="2" t="s">
        <v>339</v>
      </c>
      <c r="AM220" s="2">
        <v>3</v>
      </c>
      <c r="AN220" s="2">
        <v>1</v>
      </c>
      <c r="AO220" s="2" t="s">
        <v>340</v>
      </c>
      <c r="AP220" s="2" t="s">
        <v>341</v>
      </c>
      <c r="AQ220" s="2" t="s">
        <v>70</v>
      </c>
      <c r="AR220" s="2" t="s">
        <v>912</v>
      </c>
      <c r="AS220" s="2" t="s">
        <v>1434</v>
      </c>
      <c r="AT220" s="2" t="s">
        <v>1435</v>
      </c>
      <c r="AU220" s="2" t="s">
        <v>1436</v>
      </c>
      <c r="AV220" s="2" t="s">
        <v>1420</v>
      </c>
      <c r="AW220" s="2">
        <v>4.3753633559000003</v>
      </c>
      <c r="AX220" s="2">
        <v>50.859384744000003</v>
      </c>
    </row>
    <row r="221" spans="2:50" x14ac:dyDescent="0.25">
      <c r="B221" s="2">
        <v>436</v>
      </c>
      <c r="C221" s="2">
        <v>2133541</v>
      </c>
      <c r="D221" s="2" t="s">
        <v>640</v>
      </c>
      <c r="E221" s="2">
        <v>0</v>
      </c>
      <c r="F221" s="2">
        <v>0</v>
      </c>
      <c r="G221" s="2">
        <v>0</v>
      </c>
      <c r="H221" s="2">
        <v>0</v>
      </c>
      <c r="I221" s="2">
        <v>14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f>SUM(parking_data_1030[[#This Row],[Résidenti]:[Autres]])</f>
        <v>14</v>
      </c>
      <c r="R221" s="2">
        <v>0</v>
      </c>
      <c r="S221" s="2">
        <v>0</v>
      </c>
      <c r="T221" s="2" t="s">
        <v>43</v>
      </c>
      <c r="U221" s="2" t="s">
        <v>95</v>
      </c>
      <c r="V221" s="2" t="s">
        <v>45</v>
      </c>
      <c r="W221" s="2">
        <v>0</v>
      </c>
      <c r="X221" s="2">
        <v>1</v>
      </c>
      <c r="Y221" s="2">
        <v>0</v>
      </c>
      <c r="Z221" s="2">
        <v>1</v>
      </c>
      <c r="AA221" s="2">
        <v>0</v>
      </c>
      <c r="AB221" s="2" t="s">
        <v>428</v>
      </c>
      <c r="AC221" s="2">
        <v>0</v>
      </c>
      <c r="AD221" s="2"/>
      <c r="AE221" s="2" t="s">
        <v>46</v>
      </c>
      <c r="AF221" s="2">
        <v>0</v>
      </c>
      <c r="AG221" s="2">
        <v>0</v>
      </c>
      <c r="AH221" s="2" t="s">
        <v>641</v>
      </c>
      <c r="AI221" s="2" t="s">
        <v>43</v>
      </c>
      <c r="AJ221" s="2">
        <v>0</v>
      </c>
      <c r="AK221" s="2">
        <v>14</v>
      </c>
      <c r="AL221" s="2"/>
      <c r="AM221" s="2">
        <v>0</v>
      </c>
      <c r="AN221" s="2">
        <v>0</v>
      </c>
      <c r="AO221" s="2"/>
      <c r="AP221" s="2"/>
      <c r="AQ221" s="2" t="s">
        <v>48</v>
      </c>
      <c r="AR221" s="2" t="s">
        <v>1555</v>
      </c>
      <c r="AS221" s="2" t="s">
        <v>1434</v>
      </c>
      <c r="AT221" s="2" t="s">
        <v>1435</v>
      </c>
      <c r="AU221" s="2" t="s">
        <v>1552</v>
      </c>
      <c r="AV221" s="2" t="s">
        <v>1420</v>
      </c>
      <c r="AW221" s="2">
        <v>4.3763197737999997</v>
      </c>
      <c r="AX221" s="2">
        <v>50.861653368500001</v>
      </c>
    </row>
    <row r="222" spans="2:50" x14ac:dyDescent="0.25">
      <c r="B222" s="2">
        <v>78</v>
      </c>
      <c r="C222" s="2">
        <v>2131798</v>
      </c>
      <c r="D222" s="2" t="s">
        <v>705</v>
      </c>
      <c r="E222" s="2">
        <v>21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f>SUM(parking_data_1030[[#This Row],[Résidenti]:[Autres]])</f>
        <v>21</v>
      </c>
      <c r="R222" s="2">
        <v>0</v>
      </c>
      <c r="S222" s="2">
        <v>0</v>
      </c>
      <c r="T222" s="2" t="s">
        <v>43</v>
      </c>
      <c r="U222" s="2" t="s">
        <v>76</v>
      </c>
      <c r="V222" s="2" t="s">
        <v>45</v>
      </c>
      <c r="W222" s="2">
        <v>0</v>
      </c>
      <c r="X222" s="2">
        <v>1</v>
      </c>
      <c r="Y222" s="2">
        <v>0</v>
      </c>
      <c r="Z222" s="2">
        <v>1</v>
      </c>
      <c r="AA222" s="2">
        <v>0</v>
      </c>
      <c r="AB222" s="2"/>
      <c r="AC222" s="2">
        <v>0</v>
      </c>
      <c r="AD222" s="2"/>
      <c r="AE222" s="2" t="s">
        <v>106</v>
      </c>
      <c r="AF222" s="2">
        <v>0</v>
      </c>
      <c r="AG222" s="2">
        <v>0</v>
      </c>
      <c r="AH222" s="2" t="s">
        <v>120</v>
      </c>
      <c r="AI222" s="2" t="s">
        <v>43</v>
      </c>
      <c r="AJ222" s="2">
        <v>0</v>
      </c>
      <c r="AK222" s="2">
        <v>0</v>
      </c>
      <c r="AL222" s="2"/>
      <c r="AM222" s="2">
        <v>0</v>
      </c>
      <c r="AN222" s="2">
        <v>0</v>
      </c>
      <c r="AO222" s="2"/>
      <c r="AP222" s="2"/>
      <c r="AQ222" s="2" t="s">
        <v>48</v>
      </c>
      <c r="AR222" s="2" t="s">
        <v>1026</v>
      </c>
      <c r="AS222" s="2" t="s">
        <v>1027</v>
      </c>
      <c r="AT222" s="2" t="s">
        <v>1028</v>
      </c>
      <c r="AU222" s="2" t="s">
        <v>1022</v>
      </c>
      <c r="AV222" s="2" t="s">
        <v>1000</v>
      </c>
      <c r="AW222" s="2">
        <v>4.3908456433999996</v>
      </c>
      <c r="AX222" s="2">
        <v>50.868639869200003</v>
      </c>
    </row>
    <row r="223" spans="2:50" x14ac:dyDescent="0.25">
      <c r="B223" s="2">
        <v>321</v>
      </c>
      <c r="C223" s="2">
        <v>2152611</v>
      </c>
      <c r="D223" s="2" t="s">
        <v>356</v>
      </c>
      <c r="E223" s="2">
        <v>11</v>
      </c>
      <c r="F223" s="2">
        <v>0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f>SUM(parking_data_1030[[#This Row],[Résidenti]:[Autres]])</f>
        <v>11</v>
      </c>
      <c r="R223" s="2">
        <v>0</v>
      </c>
      <c r="S223" s="2">
        <v>0</v>
      </c>
      <c r="T223" s="2" t="s">
        <v>43</v>
      </c>
      <c r="U223" s="2" t="s">
        <v>54</v>
      </c>
      <c r="V223" s="2" t="s">
        <v>45</v>
      </c>
      <c r="W223" s="2">
        <v>1</v>
      </c>
      <c r="X223" s="2">
        <v>1</v>
      </c>
      <c r="Y223" s="2">
        <v>0</v>
      </c>
      <c r="Z223" s="2">
        <v>0</v>
      </c>
      <c r="AA223" s="2">
        <v>0</v>
      </c>
      <c r="AB223" s="2"/>
      <c r="AC223" s="2">
        <v>0</v>
      </c>
      <c r="AD223" s="2"/>
      <c r="AE223" s="2" t="s">
        <v>46</v>
      </c>
      <c r="AF223" s="2">
        <v>0</v>
      </c>
      <c r="AG223" s="2">
        <v>0</v>
      </c>
      <c r="AH223" s="2"/>
      <c r="AI223" s="2" t="s">
        <v>43</v>
      </c>
      <c r="AJ223" s="2">
        <v>0</v>
      </c>
      <c r="AK223" s="2">
        <v>0</v>
      </c>
      <c r="AL223" s="2"/>
      <c r="AM223" s="2">
        <v>0</v>
      </c>
      <c r="AN223" s="2">
        <v>0</v>
      </c>
      <c r="AO223" s="2"/>
      <c r="AP223" s="2"/>
      <c r="AQ223" s="2" t="s">
        <v>48</v>
      </c>
      <c r="AR223" s="2" t="s">
        <v>1404</v>
      </c>
      <c r="AS223" s="2" t="s">
        <v>1405</v>
      </c>
      <c r="AT223" s="2" t="s">
        <v>1406</v>
      </c>
      <c r="AU223" s="2" t="s">
        <v>1407</v>
      </c>
      <c r="AV223" s="2" t="s">
        <v>1137</v>
      </c>
      <c r="AW223" s="2">
        <v>4.3855527406999997</v>
      </c>
      <c r="AX223" s="2">
        <v>50.8586923003</v>
      </c>
    </row>
    <row r="224" spans="2:50" x14ac:dyDescent="0.25">
      <c r="B224" s="2">
        <v>324</v>
      </c>
      <c r="C224" s="2">
        <v>2150911</v>
      </c>
      <c r="D224" s="2" t="s">
        <v>360</v>
      </c>
      <c r="E224" s="2">
        <v>30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</v>
      </c>
      <c r="Q224" s="2">
        <f>SUM(parking_data_1030[[#This Row],[Résidenti]:[Autres]])</f>
        <v>30</v>
      </c>
      <c r="R224" s="2">
        <v>0</v>
      </c>
      <c r="S224" s="2">
        <v>0</v>
      </c>
      <c r="T224" s="2" t="s">
        <v>43</v>
      </c>
      <c r="U224" s="2" t="s">
        <v>44</v>
      </c>
      <c r="V224" s="2" t="s">
        <v>45</v>
      </c>
      <c r="W224" s="2">
        <v>1</v>
      </c>
      <c r="X224" s="2">
        <v>1</v>
      </c>
      <c r="Y224" s="2">
        <v>0</v>
      </c>
      <c r="Z224" s="2">
        <v>0</v>
      </c>
      <c r="AA224" s="2">
        <v>0</v>
      </c>
      <c r="AB224" s="2"/>
      <c r="AC224" s="2">
        <v>0</v>
      </c>
      <c r="AD224" s="2"/>
      <c r="AE224" s="2" t="s">
        <v>46</v>
      </c>
      <c r="AF224" s="2">
        <v>0</v>
      </c>
      <c r="AG224" s="2">
        <v>0</v>
      </c>
      <c r="AH224" s="2"/>
      <c r="AI224" s="2" t="s">
        <v>43</v>
      </c>
      <c r="AJ224" s="2">
        <v>0</v>
      </c>
      <c r="AK224" s="2">
        <v>0</v>
      </c>
      <c r="AL224" s="2"/>
      <c r="AM224" s="2">
        <v>0</v>
      </c>
      <c r="AN224" s="2">
        <v>0</v>
      </c>
      <c r="AO224" s="2"/>
      <c r="AP224" s="2"/>
      <c r="AQ224" s="2" t="s">
        <v>48</v>
      </c>
      <c r="AR224" s="2" t="s">
        <v>1178</v>
      </c>
      <c r="AS224" s="2" t="s">
        <v>1405</v>
      </c>
      <c r="AT224" s="2" t="s">
        <v>1406</v>
      </c>
      <c r="AU224" s="2" t="s">
        <v>1413</v>
      </c>
      <c r="AV224" s="2" t="s">
        <v>1137</v>
      </c>
      <c r="AW224" s="2">
        <v>4.3846761315</v>
      </c>
      <c r="AX224" s="2">
        <v>50.859870755700001</v>
      </c>
    </row>
    <row r="225" spans="2:50" x14ac:dyDescent="0.25">
      <c r="B225" s="2">
        <v>325</v>
      </c>
      <c r="C225" s="2">
        <v>2150905</v>
      </c>
      <c r="D225" s="2" t="s">
        <v>361</v>
      </c>
      <c r="E225" s="2">
        <v>14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f>SUM(parking_data_1030[[#This Row],[Résidenti]:[Autres]])</f>
        <v>14</v>
      </c>
      <c r="R225" s="2">
        <v>0</v>
      </c>
      <c r="S225" s="2">
        <v>0</v>
      </c>
      <c r="T225" s="2" t="s">
        <v>43</v>
      </c>
      <c r="U225" s="2" t="s">
        <v>44</v>
      </c>
      <c r="V225" s="2" t="s">
        <v>45</v>
      </c>
      <c r="W225" s="2">
        <v>1</v>
      </c>
      <c r="X225" s="2">
        <v>0</v>
      </c>
      <c r="Y225" s="2">
        <v>0</v>
      </c>
      <c r="Z225" s="2">
        <v>0</v>
      </c>
      <c r="AA225" s="2">
        <v>0</v>
      </c>
      <c r="AB225" s="2"/>
      <c r="AC225" s="2">
        <v>0</v>
      </c>
      <c r="AD225" s="2"/>
      <c r="AE225" s="2" t="s">
        <v>46</v>
      </c>
      <c r="AF225" s="2">
        <v>0</v>
      </c>
      <c r="AG225" s="2">
        <v>0</v>
      </c>
      <c r="AH225" s="2"/>
      <c r="AI225" s="2" t="s">
        <v>43</v>
      </c>
      <c r="AJ225" s="2">
        <v>0</v>
      </c>
      <c r="AK225" s="2">
        <v>0</v>
      </c>
      <c r="AL225" s="2"/>
      <c r="AM225" s="2">
        <v>0</v>
      </c>
      <c r="AN225" s="2">
        <v>0</v>
      </c>
      <c r="AO225" s="2"/>
      <c r="AP225" s="2"/>
      <c r="AQ225" s="2" t="s">
        <v>48</v>
      </c>
      <c r="AR225" s="2" t="s">
        <v>870</v>
      </c>
      <c r="AS225" s="2" t="s">
        <v>1405</v>
      </c>
      <c r="AT225" s="2" t="s">
        <v>1406</v>
      </c>
      <c r="AU225" s="2" t="s">
        <v>1413</v>
      </c>
      <c r="AV225" s="2" t="s">
        <v>1137</v>
      </c>
      <c r="AW225" s="2">
        <v>4.3846050972999997</v>
      </c>
      <c r="AX225" s="2">
        <v>50.859987703199998</v>
      </c>
    </row>
    <row r="226" spans="2:50" x14ac:dyDescent="0.25">
      <c r="B226" s="2">
        <v>326</v>
      </c>
      <c r="C226" s="2">
        <v>3001233</v>
      </c>
      <c r="D226" s="2" t="s">
        <v>362</v>
      </c>
      <c r="E226" s="2">
        <v>0</v>
      </c>
      <c r="F226" s="2">
        <v>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f>SUM(parking_data_1030[[#This Row],[Résidenti]:[Autres]])</f>
        <v>0</v>
      </c>
      <c r="R226" s="2">
        <v>0</v>
      </c>
      <c r="S226" s="2">
        <v>0</v>
      </c>
      <c r="T226" s="2" t="s">
        <v>43</v>
      </c>
      <c r="U226" s="2" t="s">
        <v>44</v>
      </c>
      <c r="V226" s="2" t="s">
        <v>45</v>
      </c>
      <c r="W226" s="2">
        <v>0</v>
      </c>
      <c r="X226" s="2">
        <v>0</v>
      </c>
      <c r="Y226" s="2">
        <v>0</v>
      </c>
      <c r="Z226" s="2">
        <v>1</v>
      </c>
      <c r="AA226" s="2">
        <v>0</v>
      </c>
      <c r="AB226" s="2"/>
      <c r="AC226" s="2">
        <v>0</v>
      </c>
      <c r="AD226" s="2"/>
      <c r="AE226" s="2" t="s">
        <v>46</v>
      </c>
      <c r="AF226" s="2">
        <v>0</v>
      </c>
      <c r="AG226" s="2">
        <v>0</v>
      </c>
      <c r="AH226" s="2" t="s">
        <v>363</v>
      </c>
      <c r="AI226" s="2" t="s">
        <v>79</v>
      </c>
      <c r="AJ226" s="2">
        <v>0</v>
      </c>
      <c r="AK226" s="2">
        <v>0</v>
      </c>
      <c r="AL226" s="2" t="s">
        <v>193</v>
      </c>
      <c r="AM226" s="2">
        <v>0</v>
      </c>
      <c r="AN226" s="2">
        <v>0</v>
      </c>
      <c r="AO226" s="2"/>
      <c r="AP226" s="2"/>
      <c r="AQ226" s="2" t="s">
        <v>48</v>
      </c>
      <c r="AR226" s="2" t="s">
        <v>854</v>
      </c>
      <c r="AS226" s="2" t="s">
        <v>1405</v>
      </c>
      <c r="AT226" s="2" t="s">
        <v>1406</v>
      </c>
      <c r="AU226" s="2" t="s">
        <v>1413</v>
      </c>
      <c r="AV226" s="2" t="s">
        <v>1137</v>
      </c>
      <c r="AW226" s="2">
        <v>4.3841510526</v>
      </c>
      <c r="AX226" s="2">
        <v>50.8603737838</v>
      </c>
    </row>
    <row r="227" spans="2:50" x14ac:dyDescent="0.25">
      <c r="B227" s="2">
        <v>75</v>
      </c>
      <c r="C227" s="2">
        <v>2177442</v>
      </c>
      <c r="D227" s="2" t="s">
        <v>701</v>
      </c>
      <c r="E227" s="2">
        <v>15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f>SUM(parking_data_1030[[#This Row],[Résidenti]:[Autres]])</f>
        <v>15</v>
      </c>
      <c r="R227" s="2">
        <v>0</v>
      </c>
      <c r="S227" s="2">
        <v>0</v>
      </c>
      <c r="T227" s="2" t="s">
        <v>43</v>
      </c>
      <c r="U227" s="2" t="s">
        <v>44</v>
      </c>
      <c r="V227" s="2" t="s">
        <v>45</v>
      </c>
      <c r="W227" s="2">
        <v>1</v>
      </c>
      <c r="X227" s="2">
        <v>0</v>
      </c>
      <c r="Y227" s="2">
        <v>0</v>
      </c>
      <c r="Z227" s="2">
        <v>0</v>
      </c>
      <c r="AA227" s="2">
        <v>0</v>
      </c>
      <c r="AB227" s="2"/>
      <c r="AC227" s="2">
        <v>0</v>
      </c>
      <c r="AD227" s="2"/>
      <c r="AE227" s="2" t="s">
        <v>106</v>
      </c>
      <c r="AF227" s="2">
        <v>0</v>
      </c>
      <c r="AG227" s="2">
        <v>0</v>
      </c>
      <c r="AH227" s="2" t="s">
        <v>702</v>
      </c>
      <c r="AI227" s="2" t="s">
        <v>43</v>
      </c>
      <c r="AJ227" s="2">
        <v>0</v>
      </c>
      <c r="AK227" s="2">
        <v>0</v>
      </c>
      <c r="AL227" s="2"/>
      <c r="AM227" s="2">
        <v>0</v>
      </c>
      <c r="AN227" s="2">
        <v>0</v>
      </c>
      <c r="AO227" s="2"/>
      <c r="AP227" s="2"/>
      <c r="AQ227" s="2" t="s">
        <v>48</v>
      </c>
      <c r="AR227" s="2" t="s">
        <v>1017</v>
      </c>
      <c r="AS227" s="2" t="s">
        <v>1018</v>
      </c>
      <c r="AT227" s="2" t="s">
        <v>1019</v>
      </c>
      <c r="AU227" s="2" t="s">
        <v>1013</v>
      </c>
      <c r="AV227" s="2" t="s">
        <v>1000</v>
      </c>
      <c r="AW227" s="2">
        <v>4.3943541973000002</v>
      </c>
      <c r="AX227" s="2">
        <v>50.869033703200003</v>
      </c>
    </row>
    <row r="228" spans="2:50" x14ac:dyDescent="0.25">
      <c r="B228" s="2">
        <v>135</v>
      </c>
      <c r="C228" s="2">
        <v>3001248</v>
      </c>
      <c r="D228" s="2" t="s">
        <v>265</v>
      </c>
      <c r="E228" s="2">
        <v>0</v>
      </c>
      <c r="F228" s="2">
        <v>0</v>
      </c>
      <c r="G228" s="2">
        <v>0</v>
      </c>
      <c r="H228" s="2">
        <v>0</v>
      </c>
      <c r="I228" s="2">
        <v>40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f>SUM(parking_data_1030[[#This Row],[Résidenti]:[Autres]])</f>
        <v>40</v>
      </c>
      <c r="R228" s="2">
        <v>0</v>
      </c>
      <c r="S228" s="2">
        <v>0</v>
      </c>
      <c r="T228" s="2" t="s">
        <v>43</v>
      </c>
      <c r="U228" s="2" t="s">
        <v>64</v>
      </c>
      <c r="V228" s="2" t="s">
        <v>45</v>
      </c>
      <c r="W228" s="2">
        <v>0</v>
      </c>
      <c r="X228" s="2">
        <v>0</v>
      </c>
      <c r="Y228" s="2">
        <v>0</v>
      </c>
      <c r="Z228" s="2">
        <v>1</v>
      </c>
      <c r="AA228" s="2">
        <v>0</v>
      </c>
      <c r="AB228" s="2" t="s">
        <v>60</v>
      </c>
      <c r="AC228" s="2">
        <v>0</v>
      </c>
      <c r="AD228" s="2"/>
      <c r="AE228" s="2" t="s">
        <v>106</v>
      </c>
      <c r="AF228" s="2">
        <v>0</v>
      </c>
      <c r="AG228" s="2">
        <v>0</v>
      </c>
      <c r="AH228" s="2" t="s">
        <v>266</v>
      </c>
      <c r="AI228" s="2" t="s">
        <v>43</v>
      </c>
      <c r="AJ228" s="2">
        <v>0</v>
      </c>
      <c r="AK228" s="2">
        <v>40</v>
      </c>
      <c r="AL228" s="2"/>
      <c r="AM228" s="2">
        <v>0</v>
      </c>
      <c r="AN228" s="2">
        <v>0</v>
      </c>
      <c r="AO228" s="2"/>
      <c r="AP228" s="2"/>
      <c r="AQ228" s="2" t="s">
        <v>48</v>
      </c>
      <c r="AR228" s="2" t="s">
        <v>1120</v>
      </c>
      <c r="AS228" s="2" t="s">
        <v>1121</v>
      </c>
      <c r="AT228" s="2" t="s">
        <v>1122</v>
      </c>
      <c r="AU228" s="2" t="s">
        <v>878</v>
      </c>
      <c r="AV228" s="2" t="s">
        <v>869</v>
      </c>
      <c r="AW228" s="2">
        <v>4.4038428364</v>
      </c>
      <c r="AX228" s="2">
        <v>50.855441255099997</v>
      </c>
    </row>
    <row r="229" spans="2:50" x14ac:dyDescent="0.25">
      <c r="B229" s="2">
        <v>136</v>
      </c>
      <c r="C229" s="2">
        <v>2134325</v>
      </c>
      <c r="D229" s="2" t="s">
        <v>247</v>
      </c>
      <c r="E229" s="2">
        <v>0</v>
      </c>
      <c r="F229" s="2">
        <v>0</v>
      </c>
      <c r="G229" s="2">
        <v>0</v>
      </c>
      <c r="H229" s="2">
        <v>0</v>
      </c>
      <c r="I229" s="2">
        <v>33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f>SUM(parking_data_1030[[#This Row],[Résidenti]:[Autres]])</f>
        <v>33</v>
      </c>
      <c r="R229" s="2">
        <v>0</v>
      </c>
      <c r="S229" s="2">
        <v>0</v>
      </c>
      <c r="T229" s="2" t="s">
        <v>43</v>
      </c>
      <c r="U229" s="2" t="s">
        <v>64</v>
      </c>
      <c r="V229" s="2" t="s">
        <v>45</v>
      </c>
      <c r="W229" s="2">
        <v>1</v>
      </c>
      <c r="X229" s="2">
        <v>1</v>
      </c>
      <c r="Y229" s="2">
        <v>1</v>
      </c>
      <c r="Z229" s="2">
        <v>0</v>
      </c>
      <c r="AA229" s="2">
        <v>1</v>
      </c>
      <c r="AB229" s="2"/>
      <c r="AC229" s="2">
        <v>0</v>
      </c>
      <c r="AD229" s="2"/>
      <c r="AE229" s="2" t="s">
        <v>106</v>
      </c>
      <c r="AF229" s="2">
        <v>0</v>
      </c>
      <c r="AG229" s="2">
        <v>0</v>
      </c>
      <c r="AH229" s="2" t="s">
        <v>248</v>
      </c>
      <c r="AI229" s="2" t="s">
        <v>43</v>
      </c>
      <c r="AJ229" s="2">
        <v>0</v>
      </c>
      <c r="AK229" s="2">
        <v>33</v>
      </c>
      <c r="AL229" s="2"/>
      <c r="AM229" s="2">
        <v>0</v>
      </c>
      <c r="AN229" s="2">
        <v>0</v>
      </c>
      <c r="AO229" s="2"/>
      <c r="AP229" s="2"/>
      <c r="AQ229" s="2" t="s">
        <v>48</v>
      </c>
      <c r="AR229" s="2" t="s">
        <v>886</v>
      </c>
      <c r="AS229" s="2" t="s">
        <v>1121</v>
      </c>
      <c r="AT229" s="2" t="s">
        <v>1122</v>
      </c>
      <c r="AU229" s="2" t="s">
        <v>1123</v>
      </c>
      <c r="AV229" s="2" t="s">
        <v>869</v>
      </c>
      <c r="AW229" s="2">
        <v>4.4042827929000001</v>
      </c>
      <c r="AX229" s="2">
        <v>50.855825095699998</v>
      </c>
    </row>
    <row r="230" spans="2:50" x14ac:dyDescent="0.25">
      <c r="B230" s="2">
        <v>143</v>
      </c>
      <c r="C230" s="2">
        <v>10003621</v>
      </c>
      <c r="D230" s="2" t="s">
        <v>804</v>
      </c>
      <c r="E230" s="2">
        <v>15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82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f>SUM(parking_data_1030[[#This Row],[Résidenti]:[Autres]])</f>
        <v>97</v>
      </c>
      <c r="R230" s="2">
        <v>34</v>
      </c>
      <c r="S230" s="2">
        <v>34</v>
      </c>
      <c r="T230" s="2" t="s">
        <v>43</v>
      </c>
      <c r="U230" s="2" t="s">
        <v>76</v>
      </c>
      <c r="V230" s="2" t="s">
        <v>59</v>
      </c>
      <c r="W230" s="2">
        <v>1</v>
      </c>
      <c r="X230" s="2">
        <v>1</v>
      </c>
      <c r="Y230" s="2">
        <v>1</v>
      </c>
      <c r="Z230" s="2">
        <v>0</v>
      </c>
      <c r="AA230" s="2">
        <v>1</v>
      </c>
      <c r="AB230" s="2"/>
      <c r="AC230" s="2">
        <v>100</v>
      </c>
      <c r="AD230" s="2"/>
      <c r="AE230" s="2" t="s">
        <v>46</v>
      </c>
      <c r="AF230" s="2">
        <v>0</v>
      </c>
      <c r="AG230" s="2">
        <v>0</v>
      </c>
      <c r="AH230" s="2"/>
      <c r="AI230" s="2" t="s">
        <v>43</v>
      </c>
      <c r="AJ230" s="2">
        <v>0</v>
      </c>
      <c r="AK230" s="2">
        <v>82</v>
      </c>
      <c r="AL230" s="2"/>
      <c r="AM230" s="2">
        <v>0</v>
      </c>
      <c r="AN230" s="2">
        <v>0</v>
      </c>
      <c r="AO230" s="2"/>
      <c r="AP230" s="2"/>
      <c r="AQ230" s="2" t="s">
        <v>48</v>
      </c>
      <c r="AR230" s="2" t="s">
        <v>1131</v>
      </c>
      <c r="AS230" s="2" t="s">
        <v>1132</v>
      </c>
      <c r="AT230" s="2" t="s">
        <v>1133</v>
      </c>
      <c r="AU230" s="2" t="s">
        <v>878</v>
      </c>
      <c r="AV230" s="2" t="s">
        <v>869</v>
      </c>
      <c r="AW230" s="2">
        <v>4.4009781319999997</v>
      </c>
      <c r="AX230" s="2">
        <v>50.854846755200001</v>
      </c>
    </row>
    <row r="231" spans="2:50" x14ac:dyDescent="0.25">
      <c r="B231" s="2">
        <v>161</v>
      </c>
      <c r="C231" s="2">
        <v>3000377</v>
      </c>
      <c r="D231" s="2" t="s">
        <v>305</v>
      </c>
      <c r="E231" s="2">
        <v>0</v>
      </c>
      <c r="F231" s="2">
        <v>0</v>
      </c>
      <c r="G231" s="2">
        <v>0</v>
      </c>
      <c r="H231" s="2">
        <v>20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f>SUM(parking_data_1030[[#This Row],[Résidenti]:[Autres]])</f>
        <v>20</v>
      </c>
      <c r="R231" s="2">
        <v>0</v>
      </c>
      <c r="S231" s="2">
        <v>0</v>
      </c>
      <c r="T231" s="2" t="s">
        <v>43</v>
      </c>
      <c r="U231" s="2" t="s">
        <v>76</v>
      </c>
      <c r="V231" s="2" t="s">
        <v>45</v>
      </c>
      <c r="W231" s="2">
        <v>1</v>
      </c>
      <c r="X231" s="2">
        <v>1</v>
      </c>
      <c r="Y231" s="2">
        <v>1</v>
      </c>
      <c r="Z231" s="2">
        <v>0</v>
      </c>
      <c r="AA231" s="2">
        <v>1</v>
      </c>
      <c r="AB231" s="2"/>
      <c r="AC231" s="2">
        <v>0</v>
      </c>
      <c r="AD231" s="3">
        <v>47251</v>
      </c>
      <c r="AE231" s="2" t="s">
        <v>46</v>
      </c>
      <c r="AF231" s="2">
        <v>2900</v>
      </c>
      <c r="AG231" s="2">
        <v>29</v>
      </c>
      <c r="AH231" s="2" t="s">
        <v>280</v>
      </c>
      <c r="AI231" s="2" t="s">
        <v>43</v>
      </c>
      <c r="AJ231" s="2">
        <v>9</v>
      </c>
      <c r="AK231" s="2">
        <v>20</v>
      </c>
      <c r="AL231" s="2"/>
      <c r="AM231" s="2">
        <v>0</v>
      </c>
      <c r="AN231" s="2">
        <v>0</v>
      </c>
      <c r="AO231" s="2"/>
      <c r="AP231" s="2"/>
      <c r="AQ231" s="2" t="s">
        <v>48</v>
      </c>
      <c r="AR231" s="2" t="s">
        <v>1174</v>
      </c>
      <c r="AS231" s="2" t="s">
        <v>1549</v>
      </c>
      <c r="AT231" s="2" t="s">
        <v>1550</v>
      </c>
      <c r="AU231" s="2" t="s">
        <v>1163</v>
      </c>
      <c r="AV231" s="2" t="s">
        <v>1157</v>
      </c>
      <c r="AW231" s="2">
        <v>4.4036453645</v>
      </c>
      <c r="AX231" s="2">
        <v>50.848531013900001</v>
      </c>
    </row>
    <row r="232" spans="2:50" x14ac:dyDescent="0.25">
      <c r="B232" s="2">
        <v>432</v>
      </c>
      <c r="C232" s="2">
        <v>2133065</v>
      </c>
      <c r="D232" s="2" t="s">
        <v>660</v>
      </c>
      <c r="E232" s="2">
        <v>38</v>
      </c>
      <c r="F232" s="2">
        <v>0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f>SUM(parking_data_1030[[#This Row],[Résidenti]:[Autres]])</f>
        <v>38</v>
      </c>
      <c r="R232" s="2">
        <v>0</v>
      </c>
      <c r="S232" s="2">
        <v>0</v>
      </c>
      <c r="T232" s="2" t="s">
        <v>43</v>
      </c>
      <c r="U232" s="2" t="s">
        <v>95</v>
      </c>
      <c r="V232" s="2" t="s">
        <v>45</v>
      </c>
      <c r="W232" s="2">
        <v>1</v>
      </c>
      <c r="X232" s="2">
        <v>1</v>
      </c>
      <c r="Y232" s="2">
        <v>0</v>
      </c>
      <c r="Z232" s="2">
        <v>0</v>
      </c>
      <c r="AA232" s="2">
        <v>0</v>
      </c>
      <c r="AB232" s="2"/>
      <c r="AC232" s="2">
        <v>0</v>
      </c>
      <c r="AD232" s="2"/>
      <c r="AE232" s="2" t="s">
        <v>46</v>
      </c>
      <c r="AF232" s="2">
        <v>0</v>
      </c>
      <c r="AG232" s="2">
        <v>0</v>
      </c>
      <c r="AH232" s="2" t="s">
        <v>661</v>
      </c>
      <c r="AI232" s="2" t="s">
        <v>43</v>
      </c>
      <c r="AJ232" s="2">
        <v>0</v>
      </c>
      <c r="AK232" s="2">
        <v>0</v>
      </c>
      <c r="AL232" s="2"/>
      <c r="AM232" s="2">
        <v>0</v>
      </c>
      <c r="AN232" s="2">
        <v>0</v>
      </c>
      <c r="AO232" s="2"/>
      <c r="AP232" s="2"/>
      <c r="AQ232" s="2" t="s">
        <v>48</v>
      </c>
      <c r="AR232" s="2" t="s">
        <v>916</v>
      </c>
      <c r="AS232" s="2" t="s">
        <v>1553</v>
      </c>
      <c r="AT232" s="2" t="s">
        <v>1554</v>
      </c>
      <c r="AU232" s="2" t="s">
        <v>1552</v>
      </c>
      <c r="AV232" s="2" t="s">
        <v>1420</v>
      </c>
      <c r="AW232" s="2">
        <v>4.3770239528000001</v>
      </c>
      <c r="AX232" s="2">
        <v>50.861415551999997</v>
      </c>
    </row>
    <row r="233" spans="2:50" x14ac:dyDescent="0.25">
      <c r="B233" s="2">
        <v>433</v>
      </c>
      <c r="C233" s="2">
        <v>3001254</v>
      </c>
      <c r="D233" s="2" t="s">
        <v>662</v>
      </c>
      <c r="E233" s="2">
        <v>19</v>
      </c>
      <c r="F233" s="2">
        <v>0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f>SUM(parking_data_1030[[#This Row],[Résidenti]:[Autres]])</f>
        <v>19</v>
      </c>
      <c r="R233" s="2">
        <v>0</v>
      </c>
      <c r="S233" s="2">
        <v>0</v>
      </c>
      <c r="T233" s="2" t="s">
        <v>43</v>
      </c>
      <c r="U233" s="2" t="s">
        <v>76</v>
      </c>
      <c r="V233" s="2" t="s">
        <v>45</v>
      </c>
      <c r="W233" s="2">
        <v>1</v>
      </c>
      <c r="X233" s="2">
        <v>1</v>
      </c>
      <c r="Y233" s="2">
        <v>0</v>
      </c>
      <c r="Z233" s="2">
        <v>0</v>
      </c>
      <c r="AA233" s="2">
        <v>0</v>
      </c>
      <c r="AB233" s="2"/>
      <c r="AC233" s="2">
        <v>0</v>
      </c>
      <c r="AD233" s="2"/>
      <c r="AE233" s="2" t="s">
        <v>46</v>
      </c>
      <c r="AF233" s="2">
        <v>0</v>
      </c>
      <c r="AG233" s="2">
        <v>0</v>
      </c>
      <c r="AH233" s="2"/>
      <c r="AI233" s="2" t="s">
        <v>43</v>
      </c>
      <c r="AJ233" s="2">
        <v>0</v>
      </c>
      <c r="AK233" s="2">
        <v>0</v>
      </c>
      <c r="AL233" s="2"/>
      <c r="AM233" s="2">
        <v>0</v>
      </c>
      <c r="AN233" s="2">
        <v>0</v>
      </c>
      <c r="AO233" s="2"/>
      <c r="AP233" s="2"/>
      <c r="AQ233" s="2" t="s">
        <v>48</v>
      </c>
      <c r="AR233" s="2" t="s">
        <v>886</v>
      </c>
      <c r="AS233" s="2" t="s">
        <v>1553</v>
      </c>
      <c r="AT233" s="2" t="s">
        <v>1554</v>
      </c>
      <c r="AU233" s="2" t="s">
        <v>1552</v>
      </c>
      <c r="AV233" s="2" t="s">
        <v>1420</v>
      </c>
      <c r="AW233" s="2">
        <v>4.3779210342999999</v>
      </c>
      <c r="AX233" s="2">
        <v>50.861518541899997</v>
      </c>
    </row>
    <row r="234" spans="2:50" x14ac:dyDescent="0.25">
      <c r="B234" s="2">
        <v>434</v>
      </c>
      <c r="C234" s="2">
        <v>2150271</v>
      </c>
      <c r="D234" s="2" t="s">
        <v>663</v>
      </c>
      <c r="E234" s="2">
        <v>14</v>
      </c>
      <c r="F234" s="2">
        <v>0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f>SUM(parking_data_1030[[#This Row],[Résidenti]:[Autres]])</f>
        <v>14</v>
      </c>
      <c r="R234" s="2">
        <v>0</v>
      </c>
      <c r="S234" s="2">
        <v>0</v>
      </c>
      <c r="T234" s="2" t="s">
        <v>43</v>
      </c>
      <c r="U234" s="2" t="s">
        <v>54</v>
      </c>
      <c r="V234" s="2" t="s">
        <v>45</v>
      </c>
      <c r="W234" s="2">
        <v>0</v>
      </c>
      <c r="X234" s="2">
        <v>1</v>
      </c>
      <c r="Y234" s="2">
        <v>0</v>
      </c>
      <c r="Z234" s="2">
        <v>1</v>
      </c>
      <c r="AA234" s="2">
        <v>0</v>
      </c>
      <c r="AB234" s="2"/>
      <c r="AC234" s="2">
        <v>0</v>
      </c>
      <c r="AD234" s="2"/>
      <c r="AE234" s="2" t="s">
        <v>46</v>
      </c>
      <c r="AF234" s="2">
        <v>0</v>
      </c>
      <c r="AG234" s="2">
        <v>0</v>
      </c>
      <c r="AH234" s="2" t="s">
        <v>74</v>
      </c>
      <c r="AI234" s="2" t="s">
        <v>43</v>
      </c>
      <c r="AJ234" s="2">
        <v>0</v>
      </c>
      <c r="AK234" s="2">
        <v>0</v>
      </c>
      <c r="AL234" s="2"/>
      <c r="AM234" s="2">
        <v>0</v>
      </c>
      <c r="AN234" s="2">
        <v>0</v>
      </c>
      <c r="AO234" s="2"/>
      <c r="AP234" s="2"/>
      <c r="AQ234" s="2" t="s">
        <v>48</v>
      </c>
      <c r="AR234" s="2" t="s">
        <v>857</v>
      </c>
      <c r="AS234" s="2" t="s">
        <v>1553</v>
      </c>
      <c r="AT234" s="2" t="s">
        <v>1554</v>
      </c>
      <c r="AU234" s="2" t="s">
        <v>1552</v>
      </c>
      <c r="AV234" s="2" t="s">
        <v>1420</v>
      </c>
      <c r="AW234" s="2">
        <v>4.3777570299999997</v>
      </c>
      <c r="AX234" s="2">
        <v>50.8620128174</v>
      </c>
    </row>
    <row r="235" spans="2:50" x14ac:dyDescent="0.25">
      <c r="B235" s="2">
        <v>435</v>
      </c>
      <c r="C235" s="2">
        <v>3001255</v>
      </c>
      <c r="D235" s="2" t="s">
        <v>664</v>
      </c>
      <c r="E235" s="2">
        <v>21</v>
      </c>
      <c r="F235" s="2">
        <v>0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f>SUM(parking_data_1030[[#This Row],[Résidenti]:[Autres]])</f>
        <v>21</v>
      </c>
      <c r="R235" s="2">
        <v>0</v>
      </c>
      <c r="S235" s="2">
        <v>0</v>
      </c>
      <c r="T235" s="2" t="s">
        <v>43</v>
      </c>
      <c r="U235" s="2" t="s">
        <v>54</v>
      </c>
      <c r="V235" s="2" t="s">
        <v>45</v>
      </c>
      <c r="W235" s="2">
        <v>1</v>
      </c>
      <c r="X235" s="2">
        <v>1</v>
      </c>
      <c r="Y235" s="2">
        <v>0</v>
      </c>
      <c r="Z235" s="2">
        <v>0</v>
      </c>
      <c r="AA235" s="2">
        <v>0</v>
      </c>
      <c r="AB235" s="2"/>
      <c r="AC235" s="2">
        <v>0</v>
      </c>
      <c r="AD235" s="2"/>
      <c r="AE235" s="2" t="s">
        <v>46</v>
      </c>
      <c r="AF235" s="2">
        <v>0</v>
      </c>
      <c r="AG235" s="2">
        <v>0</v>
      </c>
      <c r="AH235" s="2"/>
      <c r="AI235" s="2" t="s">
        <v>43</v>
      </c>
      <c r="AJ235" s="2">
        <v>0</v>
      </c>
      <c r="AK235" s="2">
        <v>0</v>
      </c>
      <c r="AL235" s="2"/>
      <c r="AM235" s="2">
        <v>0</v>
      </c>
      <c r="AN235" s="2">
        <v>0</v>
      </c>
      <c r="AO235" s="2"/>
      <c r="AP235" s="2"/>
      <c r="AQ235" s="2" t="s">
        <v>48</v>
      </c>
      <c r="AR235" s="2" t="s">
        <v>845</v>
      </c>
      <c r="AS235" s="2" t="s">
        <v>1553</v>
      </c>
      <c r="AT235" s="2" t="s">
        <v>1554</v>
      </c>
      <c r="AU235" s="2" t="s">
        <v>1552</v>
      </c>
      <c r="AV235" s="2" t="s">
        <v>1420</v>
      </c>
      <c r="AW235" s="2">
        <v>4.3776432143999999</v>
      </c>
      <c r="AX235" s="2">
        <v>50.8622990032</v>
      </c>
    </row>
    <row r="236" spans="2:50" x14ac:dyDescent="0.25">
      <c r="B236" s="2">
        <v>156</v>
      </c>
      <c r="C236" s="2">
        <v>1167751</v>
      </c>
      <c r="D236" s="2" t="s">
        <v>231</v>
      </c>
      <c r="E236" s="2">
        <v>16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f>SUM(parking_data_1030[[#This Row],[Résidenti]:[Autres]])</f>
        <v>16</v>
      </c>
      <c r="R236" s="2">
        <v>0</v>
      </c>
      <c r="S236" s="2">
        <v>0</v>
      </c>
      <c r="T236" s="2" t="s">
        <v>43</v>
      </c>
      <c r="U236" s="2" t="s">
        <v>54</v>
      </c>
      <c r="V236" s="2" t="s">
        <v>45</v>
      </c>
      <c r="W236" s="2">
        <v>1</v>
      </c>
      <c r="X236" s="2">
        <v>1</v>
      </c>
      <c r="Y236" s="2">
        <v>0</v>
      </c>
      <c r="Z236" s="2">
        <v>0</v>
      </c>
      <c r="AA236" s="2">
        <v>0</v>
      </c>
      <c r="AB236" s="2"/>
      <c r="AC236" s="2">
        <v>0</v>
      </c>
      <c r="AD236" s="2"/>
      <c r="AE236" s="2" t="s">
        <v>46</v>
      </c>
      <c r="AF236" s="2">
        <v>0</v>
      </c>
      <c r="AG236" s="2">
        <v>0</v>
      </c>
      <c r="AH236" s="2"/>
      <c r="AI236" s="2" t="s">
        <v>43</v>
      </c>
      <c r="AJ236" s="2">
        <v>0</v>
      </c>
      <c r="AK236" s="2">
        <v>0</v>
      </c>
      <c r="AL236" s="2"/>
      <c r="AM236" s="2">
        <v>0</v>
      </c>
      <c r="AN236" s="2">
        <v>0</v>
      </c>
      <c r="AO236" s="2"/>
      <c r="AP236" s="2"/>
      <c r="AQ236" s="2" t="s">
        <v>48</v>
      </c>
      <c r="AR236" s="2" t="s">
        <v>881</v>
      </c>
      <c r="AS236" s="2" t="s">
        <v>1161</v>
      </c>
      <c r="AT236" s="2" t="s">
        <v>1162</v>
      </c>
      <c r="AU236" s="2" t="s">
        <v>1163</v>
      </c>
      <c r="AV236" s="2" t="s">
        <v>1157</v>
      </c>
      <c r="AW236" s="2">
        <v>4.4057061503000003</v>
      </c>
      <c r="AX236" s="2">
        <v>50.847327659800001</v>
      </c>
    </row>
    <row r="237" spans="2:50" x14ac:dyDescent="0.25">
      <c r="B237" s="2">
        <v>157</v>
      </c>
      <c r="C237" s="2">
        <v>1167771</v>
      </c>
      <c r="D237" s="2" t="s">
        <v>232</v>
      </c>
      <c r="E237" s="2">
        <v>71</v>
      </c>
      <c r="F237" s="2">
        <v>0</v>
      </c>
      <c r="G237" s="2">
        <v>0</v>
      </c>
      <c r="H237" s="2">
        <v>0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f>SUM(parking_data_1030[[#This Row],[Résidenti]:[Autres]])</f>
        <v>71</v>
      </c>
      <c r="R237" s="2">
        <v>0</v>
      </c>
      <c r="S237" s="2">
        <v>0</v>
      </c>
      <c r="T237" s="2" t="s">
        <v>43</v>
      </c>
      <c r="U237" s="2" t="s">
        <v>54</v>
      </c>
      <c r="V237" s="2" t="s">
        <v>45</v>
      </c>
      <c r="W237" s="2">
        <v>1</v>
      </c>
      <c r="X237" s="2">
        <v>1</v>
      </c>
      <c r="Y237" s="2">
        <v>0</v>
      </c>
      <c r="Z237" s="2">
        <v>0</v>
      </c>
      <c r="AA237" s="2">
        <v>0</v>
      </c>
      <c r="AB237" s="2"/>
      <c r="AC237" s="2">
        <v>0</v>
      </c>
      <c r="AD237" s="2"/>
      <c r="AE237" s="2" t="s">
        <v>46</v>
      </c>
      <c r="AF237" s="2">
        <v>0</v>
      </c>
      <c r="AG237" s="2">
        <v>0</v>
      </c>
      <c r="AH237" s="2"/>
      <c r="AI237" s="2" t="s">
        <v>43</v>
      </c>
      <c r="AJ237" s="2">
        <v>0</v>
      </c>
      <c r="AK237" s="2">
        <v>0</v>
      </c>
      <c r="AL237" s="2"/>
      <c r="AM237" s="2">
        <v>0</v>
      </c>
      <c r="AN237" s="2">
        <v>0</v>
      </c>
      <c r="AO237" s="2"/>
      <c r="AP237" s="2"/>
      <c r="AQ237" s="2" t="s">
        <v>48</v>
      </c>
      <c r="AR237" s="2" t="s">
        <v>852</v>
      </c>
      <c r="AS237" s="2" t="s">
        <v>1161</v>
      </c>
      <c r="AT237" s="2" t="s">
        <v>1162</v>
      </c>
      <c r="AU237" s="2" t="s">
        <v>1163</v>
      </c>
      <c r="AV237" s="2" t="s">
        <v>1157</v>
      </c>
      <c r="AW237" s="2">
        <v>4.4053867358999996</v>
      </c>
      <c r="AX237" s="2">
        <v>50.8479628734</v>
      </c>
    </row>
    <row r="238" spans="2:50" x14ac:dyDescent="0.25">
      <c r="B238" s="2">
        <v>148</v>
      </c>
      <c r="C238" s="2"/>
      <c r="D238" s="2" t="s">
        <v>796</v>
      </c>
      <c r="E238" s="2">
        <v>45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f>SUM(parking_data_1030[[#This Row],[Résidenti]:[Autres]])</f>
        <v>45</v>
      </c>
      <c r="R238" s="2">
        <v>45</v>
      </c>
      <c r="S238" s="2">
        <v>45</v>
      </c>
      <c r="T238" s="2" t="s">
        <v>43</v>
      </c>
      <c r="U238" s="2" t="s">
        <v>76</v>
      </c>
      <c r="V238" s="2" t="s">
        <v>59</v>
      </c>
      <c r="W238" s="2">
        <v>1</v>
      </c>
      <c r="X238" s="2">
        <v>0</v>
      </c>
      <c r="Y238" s="2">
        <v>0</v>
      </c>
      <c r="Z238" s="2">
        <v>0</v>
      </c>
      <c r="AA238" s="2">
        <v>1</v>
      </c>
      <c r="AB238" s="2"/>
      <c r="AC238" s="2">
        <v>100</v>
      </c>
      <c r="AD238" s="2"/>
      <c r="AE238" s="2" t="s">
        <v>106</v>
      </c>
      <c r="AF238" s="2">
        <v>0</v>
      </c>
      <c r="AG238" s="2">
        <v>0</v>
      </c>
      <c r="AH238" s="2" t="s">
        <v>797</v>
      </c>
      <c r="AI238" s="2" t="s">
        <v>43</v>
      </c>
      <c r="AJ238" s="2">
        <v>0</v>
      </c>
      <c r="AK238" s="2">
        <v>0</v>
      </c>
      <c r="AL238" s="2"/>
      <c r="AM238" s="2">
        <v>0</v>
      </c>
      <c r="AN238" s="2">
        <v>0</v>
      </c>
      <c r="AO238" s="2"/>
      <c r="AP238" s="2"/>
      <c r="AQ238" s="2" t="s">
        <v>48</v>
      </c>
      <c r="AR238" s="12" t="s">
        <v>1066</v>
      </c>
      <c r="AS238" s="2" t="s">
        <v>1116</v>
      </c>
      <c r="AT238" s="2" t="s">
        <v>1117</v>
      </c>
      <c r="AU238" s="2" t="s">
        <v>1143</v>
      </c>
      <c r="AV238" s="2" t="s">
        <v>869</v>
      </c>
      <c r="AW238" s="2">
        <v>4.4045518491999998</v>
      </c>
      <c r="AX238" s="2">
        <v>50.851124539300002</v>
      </c>
    </row>
    <row r="239" spans="2:50" x14ac:dyDescent="0.25">
      <c r="B239" s="2">
        <v>149</v>
      </c>
      <c r="C239" s="2">
        <v>2164911</v>
      </c>
      <c r="D239" s="2" t="s">
        <v>242</v>
      </c>
      <c r="E239" s="2">
        <v>14</v>
      </c>
      <c r="F239" s="2">
        <v>0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f>SUM(parking_data_1030[[#This Row],[Résidenti]:[Autres]])</f>
        <v>14</v>
      </c>
      <c r="R239" s="2">
        <v>0</v>
      </c>
      <c r="S239" s="2">
        <v>0</v>
      </c>
      <c r="T239" s="2" t="s">
        <v>43</v>
      </c>
      <c r="U239" s="2" t="s">
        <v>115</v>
      </c>
      <c r="V239" s="2" t="s">
        <v>45</v>
      </c>
      <c r="W239" s="2">
        <v>0</v>
      </c>
      <c r="X239" s="2">
        <v>1</v>
      </c>
      <c r="Y239" s="2">
        <v>0</v>
      </c>
      <c r="Z239" s="2">
        <v>1</v>
      </c>
      <c r="AA239" s="2">
        <v>0</v>
      </c>
      <c r="AB239" s="2"/>
      <c r="AC239" s="2">
        <v>0</v>
      </c>
      <c r="AD239" s="2"/>
      <c r="AE239" s="2" t="s">
        <v>106</v>
      </c>
      <c r="AF239" s="2">
        <v>0</v>
      </c>
      <c r="AG239" s="2">
        <v>0</v>
      </c>
      <c r="AH239" s="2" t="s">
        <v>55</v>
      </c>
      <c r="AI239" s="2" t="s">
        <v>43</v>
      </c>
      <c r="AJ239" s="2">
        <v>0</v>
      </c>
      <c r="AK239" s="2">
        <v>0</v>
      </c>
      <c r="AL239" s="2"/>
      <c r="AM239" s="2">
        <v>0</v>
      </c>
      <c r="AN239" s="2">
        <v>0</v>
      </c>
      <c r="AO239" s="2"/>
      <c r="AP239" s="2"/>
      <c r="AQ239" s="2" t="s">
        <v>48</v>
      </c>
      <c r="AR239" s="2" t="s">
        <v>1045</v>
      </c>
      <c r="AS239" s="2" t="s">
        <v>1116</v>
      </c>
      <c r="AT239" s="2" t="s">
        <v>1117</v>
      </c>
      <c r="AU239" s="2" t="s">
        <v>1144</v>
      </c>
      <c r="AV239" s="2" t="s">
        <v>869</v>
      </c>
      <c r="AW239" s="2">
        <v>4.4049602819000002</v>
      </c>
      <c r="AX239" s="2">
        <v>50.851565925199999</v>
      </c>
    </row>
    <row r="240" spans="2:50" x14ac:dyDescent="0.25">
      <c r="B240" s="2">
        <v>150</v>
      </c>
      <c r="C240" s="2">
        <v>2134359</v>
      </c>
      <c r="D240" s="2" t="s">
        <v>243</v>
      </c>
      <c r="E240" s="2">
        <v>162</v>
      </c>
      <c r="F240" s="2">
        <v>0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f>SUM(parking_data_1030[[#This Row],[Résidenti]:[Autres]])</f>
        <v>162</v>
      </c>
      <c r="R240" s="2">
        <v>0</v>
      </c>
      <c r="S240" s="2">
        <v>0</v>
      </c>
      <c r="T240" s="2" t="s">
        <v>43</v>
      </c>
      <c r="U240" s="2" t="s">
        <v>95</v>
      </c>
      <c r="V240" s="2" t="s">
        <v>45</v>
      </c>
      <c r="W240" s="2">
        <v>1</v>
      </c>
      <c r="X240" s="2">
        <v>1</v>
      </c>
      <c r="Y240" s="2">
        <v>0</v>
      </c>
      <c r="Z240" s="2">
        <v>0</v>
      </c>
      <c r="AA240" s="2">
        <v>0</v>
      </c>
      <c r="AB240" s="2"/>
      <c r="AC240" s="2">
        <v>0</v>
      </c>
      <c r="AD240" s="2"/>
      <c r="AE240" s="2" t="s">
        <v>106</v>
      </c>
      <c r="AF240" s="2">
        <v>0</v>
      </c>
      <c r="AG240" s="2">
        <v>0</v>
      </c>
      <c r="AH240" s="2" t="s">
        <v>244</v>
      </c>
      <c r="AI240" s="2" t="s">
        <v>43</v>
      </c>
      <c r="AJ240" s="2">
        <v>0</v>
      </c>
      <c r="AK240" s="2">
        <v>0</v>
      </c>
      <c r="AL240" s="2"/>
      <c r="AM240" s="2">
        <v>0</v>
      </c>
      <c r="AN240" s="2">
        <v>0</v>
      </c>
      <c r="AO240" s="2"/>
      <c r="AP240" s="2"/>
      <c r="AQ240" s="2" t="s">
        <v>48</v>
      </c>
      <c r="AR240" s="2" t="s">
        <v>1145</v>
      </c>
      <c r="AS240" s="2" t="s">
        <v>1116</v>
      </c>
      <c r="AT240" s="2" t="s">
        <v>1117</v>
      </c>
      <c r="AU240" s="2" t="s">
        <v>1146</v>
      </c>
      <c r="AV240" s="2" t="s">
        <v>869</v>
      </c>
      <c r="AW240" s="2">
        <v>4.4093800970999997</v>
      </c>
      <c r="AX240" s="2">
        <v>50.852746122799999</v>
      </c>
    </row>
    <row r="241" spans="2:50" x14ac:dyDescent="0.25">
      <c r="B241" s="2">
        <v>151</v>
      </c>
      <c r="C241" s="2">
        <v>2166643</v>
      </c>
      <c r="D241" s="2" t="s">
        <v>245</v>
      </c>
      <c r="E241" s="2">
        <v>0</v>
      </c>
      <c r="F241" s="2">
        <v>0</v>
      </c>
      <c r="G241" s="2">
        <v>0</v>
      </c>
      <c r="H241" s="2">
        <v>69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f>SUM(parking_data_1030[[#This Row],[Résidenti]:[Autres]])</f>
        <v>69</v>
      </c>
      <c r="R241" s="2">
        <v>0</v>
      </c>
      <c r="S241" s="2">
        <v>0</v>
      </c>
      <c r="T241" s="2" t="s">
        <v>43</v>
      </c>
      <c r="U241" s="2" t="s">
        <v>95</v>
      </c>
      <c r="V241" s="2" t="s">
        <v>45</v>
      </c>
      <c r="W241" s="2">
        <v>1</v>
      </c>
      <c r="X241" s="2">
        <v>1</v>
      </c>
      <c r="Y241" s="2">
        <v>1</v>
      </c>
      <c r="Z241" s="2">
        <v>0</v>
      </c>
      <c r="AA241" s="2">
        <v>1</v>
      </c>
      <c r="AB241" s="2"/>
      <c r="AC241" s="2">
        <v>0</v>
      </c>
      <c r="AD241" s="3">
        <v>45775</v>
      </c>
      <c r="AE241" s="2" t="s">
        <v>106</v>
      </c>
      <c r="AF241" s="2">
        <v>5038</v>
      </c>
      <c r="AG241" s="2">
        <v>84</v>
      </c>
      <c r="AH241" s="2" t="s">
        <v>246</v>
      </c>
      <c r="AI241" s="2" t="s">
        <v>43</v>
      </c>
      <c r="AJ241" s="2">
        <v>15</v>
      </c>
      <c r="AK241" s="2">
        <v>69</v>
      </c>
      <c r="AL241" s="2"/>
      <c r="AM241" s="2">
        <v>0</v>
      </c>
      <c r="AN241" s="2">
        <v>0</v>
      </c>
      <c r="AO241" s="2"/>
      <c r="AP241" s="2"/>
      <c r="AQ241" s="2" t="s">
        <v>48</v>
      </c>
      <c r="AR241" s="2" t="s">
        <v>1459</v>
      </c>
      <c r="AS241" s="2" t="s">
        <v>1116</v>
      </c>
      <c r="AT241" s="2" t="s">
        <v>1117</v>
      </c>
      <c r="AU241" s="2" t="s">
        <v>1118</v>
      </c>
      <c r="AV241" s="2" t="s">
        <v>869</v>
      </c>
      <c r="AW241" s="2">
        <v>4.4095155258999998</v>
      </c>
      <c r="AX241" s="2">
        <v>50.852018834900001</v>
      </c>
    </row>
    <row r="242" spans="2:50" x14ac:dyDescent="0.25">
      <c r="B242" s="2">
        <v>152</v>
      </c>
      <c r="C242" s="2">
        <v>2166641</v>
      </c>
      <c r="D242" s="2" t="s">
        <v>224</v>
      </c>
      <c r="E242" s="2">
        <v>42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f>SUM(parking_data_1030[[#This Row],[Résidenti]:[Autres]])</f>
        <v>42</v>
      </c>
      <c r="R242" s="2">
        <v>0</v>
      </c>
      <c r="S242" s="2">
        <v>0</v>
      </c>
      <c r="T242" s="2" t="s">
        <v>43</v>
      </c>
      <c r="U242" s="2" t="s">
        <v>76</v>
      </c>
      <c r="V242" s="2" t="s">
        <v>45</v>
      </c>
      <c r="W242" s="2">
        <v>0</v>
      </c>
      <c r="X242" s="2">
        <v>0</v>
      </c>
      <c r="Y242" s="2">
        <v>0</v>
      </c>
      <c r="Z242" s="2">
        <v>1</v>
      </c>
      <c r="AA242" s="2">
        <v>0</v>
      </c>
      <c r="AB242" s="2" t="s">
        <v>60</v>
      </c>
      <c r="AC242" s="2">
        <v>0</v>
      </c>
      <c r="AD242" s="2"/>
      <c r="AE242" s="2" t="s">
        <v>106</v>
      </c>
      <c r="AF242" s="2">
        <v>0</v>
      </c>
      <c r="AG242" s="2">
        <v>0</v>
      </c>
      <c r="AH242" s="2" t="s">
        <v>225</v>
      </c>
      <c r="AI242" s="2" t="s">
        <v>43</v>
      </c>
      <c r="AJ242" s="2">
        <v>0</v>
      </c>
      <c r="AK242" s="2">
        <v>0</v>
      </c>
      <c r="AL242" s="2"/>
      <c r="AM242" s="2">
        <v>0</v>
      </c>
      <c r="AN242" s="2">
        <v>0</v>
      </c>
      <c r="AO242" s="2"/>
      <c r="AP242" s="2"/>
      <c r="AQ242" s="2" t="s">
        <v>48</v>
      </c>
      <c r="AR242" s="2" t="s">
        <v>1149</v>
      </c>
      <c r="AS242" s="2" t="s">
        <v>1116</v>
      </c>
      <c r="AT242" s="2" t="s">
        <v>1117</v>
      </c>
      <c r="AU242" s="2" t="s">
        <v>1118</v>
      </c>
      <c r="AV242" s="2" t="s">
        <v>869</v>
      </c>
      <c r="AW242" s="2">
        <v>4.4101317090999999</v>
      </c>
      <c r="AX242" s="2">
        <v>50.852389674900003</v>
      </c>
    </row>
    <row r="243" spans="2:50" x14ac:dyDescent="0.25">
      <c r="B243" s="2">
        <v>153</v>
      </c>
      <c r="C243" s="2">
        <v>2166639</v>
      </c>
      <c r="D243" s="2" t="s">
        <v>226</v>
      </c>
      <c r="E243" s="2">
        <v>0</v>
      </c>
      <c r="F243" s="2">
        <v>0</v>
      </c>
      <c r="G243" s="2">
        <v>0</v>
      </c>
      <c r="H243" s="2">
        <v>65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f>SUM(parking_data_1030[[#This Row],[Résidenti]:[Autres]])</f>
        <v>65</v>
      </c>
      <c r="R243" s="2">
        <v>0</v>
      </c>
      <c r="S243" s="2">
        <v>0</v>
      </c>
      <c r="T243" s="2" t="s">
        <v>43</v>
      </c>
      <c r="U243" s="2" t="s">
        <v>95</v>
      </c>
      <c r="V243" s="2" t="s">
        <v>45</v>
      </c>
      <c r="W243" s="2">
        <v>1</v>
      </c>
      <c r="X243" s="2">
        <v>1</v>
      </c>
      <c r="Y243" s="2">
        <v>1</v>
      </c>
      <c r="Z243" s="2">
        <v>0</v>
      </c>
      <c r="AA243" s="2">
        <v>1</v>
      </c>
      <c r="AB243" s="2"/>
      <c r="AC243" s="2">
        <v>0</v>
      </c>
      <c r="AD243" s="3">
        <v>47145</v>
      </c>
      <c r="AE243" s="2" t="s">
        <v>106</v>
      </c>
      <c r="AF243" s="2">
        <v>2700</v>
      </c>
      <c r="AG243" s="2">
        <v>45</v>
      </c>
      <c r="AH243" s="2" t="s">
        <v>227</v>
      </c>
      <c r="AI243" s="2" t="s">
        <v>43</v>
      </c>
      <c r="AJ243" s="2">
        <v>-20</v>
      </c>
      <c r="AK243" s="2">
        <v>65</v>
      </c>
      <c r="AL243" s="2"/>
      <c r="AM243" s="2">
        <v>0</v>
      </c>
      <c r="AN243" s="2">
        <v>0</v>
      </c>
      <c r="AO243" s="2"/>
      <c r="AP243" s="2"/>
      <c r="AQ243" s="2" t="s">
        <v>48</v>
      </c>
      <c r="AR243" s="2" t="s">
        <v>986</v>
      </c>
      <c r="AS243" s="2" t="s">
        <v>1116</v>
      </c>
      <c r="AT243" s="2" t="s">
        <v>1117</v>
      </c>
      <c r="AU243" s="2" t="s">
        <v>1118</v>
      </c>
      <c r="AV243" s="2" t="s">
        <v>869</v>
      </c>
      <c r="AW243" s="2">
        <v>4.4108368159999998</v>
      </c>
      <c r="AX243" s="2">
        <v>50.852621919100002</v>
      </c>
    </row>
    <row r="244" spans="2:50" x14ac:dyDescent="0.25">
      <c r="B244" s="2">
        <v>476</v>
      </c>
      <c r="C244" s="2"/>
      <c r="D244" s="2" t="s">
        <v>529</v>
      </c>
      <c r="E244" s="2">
        <v>0</v>
      </c>
      <c r="F244" s="2">
        <v>0</v>
      </c>
      <c r="G244" s="2">
        <v>0</v>
      </c>
      <c r="H244" s="2">
        <v>28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f>SUM(parking_data_1030[[#This Row],[Résidenti]:[Autres]])</f>
        <v>28</v>
      </c>
      <c r="R244" s="2">
        <v>0</v>
      </c>
      <c r="S244" s="2">
        <v>0</v>
      </c>
      <c r="T244" s="2" t="s">
        <v>43</v>
      </c>
      <c r="U244" s="2" t="s">
        <v>76</v>
      </c>
      <c r="V244" s="2" t="s">
        <v>59</v>
      </c>
      <c r="W244" s="2">
        <v>1</v>
      </c>
      <c r="X244" s="2">
        <v>0</v>
      </c>
      <c r="Y244" s="2">
        <v>0</v>
      </c>
      <c r="Z244" s="2">
        <v>0</v>
      </c>
      <c r="AA244" s="2">
        <v>0</v>
      </c>
      <c r="AB244" s="2"/>
      <c r="AC244" s="2">
        <v>0</v>
      </c>
      <c r="AD244" s="2"/>
      <c r="AE244" s="2" t="s">
        <v>46</v>
      </c>
      <c r="AF244" s="2">
        <v>0</v>
      </c>
      <c r="AG244" s="2">
        <v>0</v>
      </c>
      <c r="AH244" s="2" t="s">
        <v>530</v>
      </c>
      <c r="AI244" s="2" t="s">
        <v>43</v>
      </c>
      <c r="AJ244" s="2">
        <v>0</v>
      </c>
      <c r="AK244" s="2">
        <v>28</v>
      </c>
      <c r="AL244" s="2"/>
      <c r="AM244" s="2">
        <v>0</v>
      </c>
      <c r="AN244" s="2">
        <v>0</v>
      </c>
      <c r="AO244" s="2"/>
      <c r="AP244" s="2"/>
      <c r="AQ244" s="2" t="s">
        <v>48</v>
      </c>
      <c r="AR244" s="2"/>
      <c r="AS244" s="2" t="s">
        <v>1116</v>
      </c>
      <c r="AT244" s="2" t="s">
        <v>1117</v>
      </c>
      <c r="AU244" s="2" t="s">
        <v>868</v>
      </c>
      <c r="AV244" s="2" t="s">
        <v>869</v>
      </c>
      <c r="AW244" s="2">
        <v>4.4023736962999998</v>
      </c>
      <c r="AX244" s="2">
        <v>50.850673968700001</v>
      </c>
    </row>
    <row r="245" spans="2:50" x14ac:dyDescent="0.25">
      <c r="B245" s="2">
        <v>10</v>
      </c>
      <c r="C245" s="2">
        <v>2177667</v>
      </c>
      <c r="D245" s="2" t="s">
        <v>56</v>
      </c>
      <c r="E245" s="2">
        <v>16</v>
      </c>
      <c r="F245" s="2">
        <v>0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f>SUM(parking_data_1030[[#This Row],[Résidenti]:[Autres]])</f>
        <v>16</v>
      </c>
      <c r="R245" s="2">
        <v>0</v>
      </c>
      <c r="S245" s="2">
        <v>0</v>
      </c>
      <c r="T245" s="2" t="s">
        <v>43</v>
      </c>
      <c r="U245" s="2" t="s">
        <v>44</v>
      </c>
      <c r="V245" s="2" t="s">
        <v>45</v>
      </c>
      <c r="W245" s="2">
        <v>1</v>
      </c>
      <c r="X245" s="2">
        <v>0</v>
      </c>
      <c r="Y245" s="2">
        <v>0</v>
      </c>
      <c r="Z245" s="2">
        <v>0</v>
      </c>
      <c r="AA245" s="2">
        <v>0</v>
      </c>
      <c r="AB245" s="2"/>
      <c r="AC245" s="2">
        <v>0</v>
      </c>
      <c r="AD245" s="2"/>
      <c r="AE245" s="2" t="s">
        <v>52</v>
      </c>
      <c r="AF245" s="2">
        <v>0</v>
      </c>
      <c r="AG245" s="2">
        <v>0</v>
      </c>
      <c r="AH245" s="2"/>
      <c r="AI245" s="2" t="s">
        <v>43</v>
      </c>
      <c r="AJ245" s="2">
        <v>0</v>
      </c>
      <c r="AK245" s="2">
        <v>0</v>
      </c>
      <c r="AL245" s="2"/>
      <c r="AM245" s="2">
        <v>0</v>
      </c>
      <c r="AN245" s="2">
        <v>0</v>
      </c>
      <c r="AO245" s="2"/>
      <c r="AP245" s="2"/>
      <c r="AQ245" s="2" t="s">
        <v>48</v>
      </c>
      <c r="AR245" s="2" t="s">
        <v>849</v>
      </c>
      <c r="AS245" s="2" t="s">
        <v>859</v>
      </c>
      <c r="AT245" s="2" t="s">
        <v>860</v>
      </c>
      <c r="AU245" s="2" t="s">
        <v>858</v>
      </c>
      <c r="AV245" s="2" t="s">
        <v>835</v>
      </c>
      <c r="AW245" s="2">
        <v>4.3825831446999999</v>
      </c>
      <c r="AX245" s="2">
        <v>50.877480853199998</v>
      </c>
    </row>
    <row r="246" spans="2:50" x14ac:dyDescent="0.25">
      <c r="B246" s="2">
        <v>445</v>
      </c>
      <c r="C246" s="2">
        <v>10834576</v>
      </c>
      <c r="D246" s="2" t="s">
        <v>627</v>
      </c>
      <c r="E246" s="2">
        <v>146</v>
      </c>
      <c r="F246" s="2">
        <v>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f>SUM(parking_data_1030[[#This Row],[Résidenti]:[Autres]])</f>
        <v>146</v>
      </c>
      <c r="R246" s="2">
        <v>0</v>
      </c>
      <c r="S246" s="2">
        <v>0</v>
      </c>
      <c r="T246" s="2" t="s">
        <v>43</v>
      </c>
      <c r="U246" s="2" t="s">
        <v>76</v>
      </c>
      <c r="V246" s="2" t="s">
        <v>45</v>
      </c>
      <c r="W246" s="2">
        <v>1</v>
      </c>
      <c r="X246" s="2">
        <v>1</v>
      </c>
      <c r="Y246" s="2">
        <v>0</v>
      </c>
      <c r="Z246" s="2">
        <v>0</v>
      </c>
      <c r="AA246" s="2">
        <v>0</v>
      </c>
      <c r="AB246" s="2"/>
      <c r="AC246" s="2">
        <v>0</v>
      </c>
      <c r="AD246" s="2"/>
      <c r="AE246" s="2" t="s">
        <v>46</v>
      </c>
      <c r="AF246" s="2">
        <v>0</v>
      </c>
      <c r="AG246" s="2">
        <v>0</v>
      </c>
      <c r="AH246" s="2"/>
      <c r="AI246" s="2" t="s">
        <v>43</v>
      </c>
      <c r="AJ246" s="2">
        <v>0</v>
      </c>
      <c r="AK246" s="2">
        <v>0</v>
      </c>
      <c r="AL246" s="2"/>
      <c r="AM246" s="2">
        <v>0</v>
      </c>
      <c r="AN246" s="2">
        <v>0</v>
      </c>
      <c r="AO246" s="2"/>
      <c r="AP246" s="2"/>
      <c r="AQ246" s="2" t="s">
        <v>48</v>
      </c>
      <c r="AR246" s="2" t="s">
        <v>1569</v>
      </c>
      <c r="AS246" s="2" t="s">
        <v>908</v>
      </c>
      <c r="AT246" s="2" t="s">
        <v>909</v>
      </c>
      <c r="AU246" s="2" t="s">
        <v>1084</v>
      </c>
      <c r="AV246" s="2" t="s">
        <v>911</v>
      </c>
      <c r="AW246" s="2">
        <v>4.3595889801999999</v>
      </c>
      <c r="AX246" s="2">
        <v>50.865202813000003</v>
      </c>
    </row>
    <row r="247" spans="2:50" x14ac:dyDescent="0.25">
      <c r="B247" s="2">
        <v>467</v>
      </c>
      <c r="C247" s="2">
        <v>10834577</v>
      </c>
      <c r="D247" s="2" t="s">
        <v>545</v>
      </c>
      <c r="E247" s="2">
        <v>0</v>
      </c>
      <c r="F247" s="2">
        <v>0</v>
      </c>
      <c r="G247" s="2">
        <v>0</v>
      </c>
      <c r="H247" s="2">
        <v>174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f>SUM(parking_data_1030[[#This Row],[Résidenti]:[Autres]])</f>
        <v>174</v>
      </c>
      <c r="R247" s="2">
        <v>0</v>
      </c>
      <c r="S247" s="2">
        <v>0</v>
      </c>
      <c r="T247" s="2" t="s">
        <v>43</v>
      </c>
      <c r="U247" s="2" t="s">
        <v>76</v>
      </c>
      <c r="V247" s="2" t="s">
        <v>45</v>
      </c>
      <c r="W247" s="2">
        <v>1</v>
      </c>
      <c r="X247" s="2">
        <v>0</v>
      </c>
      <c r="Y247" s="2">
        <v>1</v>
      </c>
      <c r="Z247" s="2">
        <v>0</v>
      </c>
      <c r="AA247" s="2">
        <v>1</v>
      </c>
      <c r="AB247" s="2"/>
      <c r="AC247" s="2">
        <v>0</v>
      </c>
      <c r="AD247" s="3">
        <v>44576</v>
      </c>
      <c r="AE247" s="2" t="s">
        <v>52</v>
      </c>
      <c r="AF247" s="2">
        <v>30013</v>
      </c>
      <c r="AG247" s="2">
        <v>151</v>
      </c>
      <c r="AH247" s="2" t="s">
        <v>546</v>
      </c>
      <c r="AI247" s="2" t="s">
        <v>43</v>
      </c>
      <c r="AJ247" s="2">
        <v>-23</v>
      </c>
      <c r="AK247" s="2">
        <v>174</v>
      </c>
      <c r="AL247" s="2" t="s">
        <v>547</v>
      </c>
      <c r="AM247" s="2">
        <v>0</v>
      </c>
      <c r="AN247" s="2">
        <v>0</v>
      </c>
      <c r="AO247" s="2"/>
      <c r="AP247" s="2"/>
      <c r="AQ247" s="2" t="s">
        <v>48</v>
      </c>
      <c r="AR247" s="2" t="s">
        <v>852</v>
      </c>
      <c r="AS247" s="2" t="s">
        <v>908</v>
      </c>
      <c r="AT247" s="2" t="s">
        <v>909</v>
      </c>
      <c r="AU247" s="2" t="s">
        <v>1084</v>
      </c>
      <c r="AV247" s="2" t="s">
        <v>911</v>
      </c>
      <c r="AW247" s="2">
        <v>4.3591478373000001</v>
      </c>
      <c r="AX247" s="2">
        <v>50.863969807700002</v>
      </c>
    </row>
    <row r="248" spans="2:50" x14ac:dyDescent="0.25">
      <c r="B248" s="2">
        <v>468</v>
      </c>
      <c r="C248" s="2">
        <v>10834572</v>
      </c>
      <c r="D248" s="2" t="s">
        <v>548</v>
      </c>
      <c r="E248" s="2">
        <v>0</v>
      </c>
      <c r="F248" s="2">
        <v>0</v>
      </c>
      <c r="G248" s="2">
        <v>0</v>
      </c>
      <c r="H248" s="2">
        <v>271</v>
      </c>
      <c r="I248" s="2">
        <v>7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f>SUM(parking_data_1030[[#This Row],[Résidenti]:[Autres]])</f>
        <v>278</v>
      </c>
      <c r="R248" s="2">
        <v>0</v>
      </c>
      <c r="S248" s="2">
        <v>0</v>
      </c>
      <c r="T248" s="2" t="s">
        <v>43</v>
      </c>
      <c r="U248" s="2" t="s">
        <v>76</v>
      </c>
      <c r="V248" s="2" t="s">
        <v>45</v>
      </c>
      <c r="W248" s="2">
        <v>1</v>
      </c>
      <c r="X248" s="2">
        <v>0</v>
      </c>
      <c r="Y248" s="2">
        <v>1</v>
      </c>
      <c r="Z248" s="2">
        <v>0</v>
      </c>
      <c r="AA248" s="2">
        <v>1</v>
      </c>
      <c r="AB248" s="2"/>
      <c r="AC248" s="2">
        <v>0</v>
      </c>
      <c r="AD248" s="3">
        <v>48653</v>
      </c>
      <c r="AE248" s="2" t="s">
        <v>52</v>
      </c>
      <c r="AF248" s="2">
        <v>52203</v>
      </c>
      <c r="AG248" s="2">
        <v>262</v>
      </c>
      <c r="AH248" s="2"/>
      <c r="AI248" s="2" t="s">
        <v>43</v>
      </c>
      <c r="AJ248" s="2">
        <v>-9</v>
      </c>
      <c r="AK248" s="2">
        <v>278</v>
      </c>
      <c r="AL248" s="2" t="s">
        <v>549</v>
      </c>
      <c r="AM248" s="2">
        <v>0</v>
      </c>
      <c r="AN248" s="2">
        <v>0</v>
      </c>
      <c r="AO248" s="2"/>
      <c r="AP248" s="2"/>
      <c r="AQ248" s="2" t="s">
        <v>48</v>
      </c>
      <c r="AR248" s="2" t="s">
        <v>1179</v>
      </c>
      <c r="AS248" s="2" t="s">
        <v>908</v>
      </c>
      <c r="AT248" s="2" t="s">
        <v>909</v>
      </c>
      <c r="AU248" s="2" t="s">
        <v>1180</v>
      </c>
      <c r="AV248" s="2" t="s">
        <v>911</v>
      </c>
      <c r="AW248" s="2">
        <v>4.3592159546999998</v>
      </c>
      <c r="AX248" s="2">
        <v>50.8626853142</v>
      </c>
    </row>
    <row r="249" spans="2:50" x14ac:dyDescent="0.25">
      <c r="B249" s="2">
        <v>471</v>
      </c>
      <c r="C249" s="2">
        <v>10005258</v>
      </c>
      <c r="D249" s="2" t="s">
        <v>557</v>
      </c>
      <c r="E249" s="2">
        <v>0</v>
      </c>
      <c r="F249" s="2">
        <v>0</v>
      </c>
      <c r="G249" s="2">
        <v>0</v>
      </c>
      <c r="H249" s="2">
        <v>611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f>SUM(parking_data_1030[[#This Row],[Résidenti]:[Autres]])</f>
        <v>611</v>
      </c>
      <c r="R249" s="2">
        <v>0</v>
      </c>
      <c r="S249" s="2">
        <v>0</v>
      </c>
      <c r="T249" s="2" t="s">
        <v>43</v>
      </c>
      <c r="U249" s="2" t="s">
        <v>76</v>
      </c>
      <c r="V249" s="2" t="s">
        <v>45</v>
      </c>
      <c r="W249" s="2">
        <v>1</v>
      </c>
      <c r="X249" s="2">
        <v>1</v>
      </c>
      <c r="Y249" s="2">
        <v>1</v>
      </c>
      <c r="Z249" s="2">
        <v>0</v>
      </c>
      <c r="AA249" s="2">
        <v>1</v>
      </c>
      <c r="AB249" s="2"/>
      <c r="AC249" s="2">
        <v>0</v>
      </c>
      <c r="AD249" s="3">
        <v>47990</v>
      </c>
      <c r="AE249" s="2" t="s">
        <v>52</v>
      </c>
      <c r="AF249" s="2">
        <v>108090</v>
      </c>
      <c r="AG249" s="2">
        <v>542</v>
      </c>
      <c r="AH249" s="2"/>
      <c r="AI249" s="2" t="s">
        <v>43</v>
      </c>
      <c r="AJ249" s="2">
        <v>-69</v>
      </c>
      <c r="AK249" s="2">
        <v>611</v>
      </c>
      <c r="AL249" s="2" t="s">
        <v>525</v>
      </c>
      <c r="AM249" s="2">
        <v>0</v>
      </c>
      <c r="AN249" s="2">
        <v>0</v>
      </c>
      <c r="AO249" s="2"/>
      <c r="AP249" s="2"/>
      <c r="AQ249" s="2" t="s">
        <v>48</v>
      </c>
      <c r="AR249" s="2" t="s">
        <v>907</v>
      </c>
      <c r="AS249" s="2" t="s">
        <v>908</v>
      </c>
      <c r="AT249" s="2" t="s">
        <v>909</v>
      </c>
      <c r="AU249" s="2" t="s">
        <v>910</v>
      </c>
      <c r="AV249" s="2" t="s">
        <v>911</v>
      </c>
      <c r="AW249" s="2">
        <v>4.3587232094999999</v>
      </c>
      <c r="AX249" s="2">
        <v>50.8613153911</v>
      </c>
    </row>
    <row r="250" spans="2:50" x14ac:dyDescent="0.25">
      <c r="B250" s="2">
        <v>472</v>
      </c>
      <c r="C250" s="2">
        <v>2134856</v>
      </c>
      <c r="D250" s="2" t="s">
        <v>523</v>
      </c>
      <c r="E250" s="2">
        <v>0</v>
      </c>
      <c r="F250" s="2">
        <v>0</v>
      </c>
      <c r="G250" s="2">
        <v>0</v>
      </c>
      <c r="H250" s="2">
        <v>249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f>SUM(parking_data_1030[[#This Row],[Résidenti]:[Autres]])</f>
        <v>249</v>
      </c>
      <c r="R250" s="2">
        <v>0</v>
      </c>
      <c r="S250" s="2">
        <v>0</v>
      </c>
      <c r="T250" s="2" t="s">
        <v>43</v>
      </c>
      <c r="U250" s="2" t="s">
        <v>76</v>
      </c>
      <c r="V250" s="2" t="s">
        <v>45</v>
      </c>
      <c r="W250" s="2">
        <v>1</v>
      </c>
      <c r="X250" s="2">
        <v>1</v>
      </c>
      <c r="Y250" s="2">
        <v>1</v>
      </c>
      <c r="Z250" s="2">
        <v>0</v>
      </c>
      <c r="AA250" s="2">
        <v>0</v>
      </c>
      <c r="AB250" s="2"/>
      <c r="AC250" s="2">
        <v>0</v>
      </c>
      <c r="AD250" s="3">
        <v>49562</v>
      </c>
      <c r="AE250" s="2" t="s">
        <v>52</v>
      </c>
      <c r="AF250" s="2">
        <v>99311</v>
      </c>
      <c r="AG250" s="2">
        <v>498</v>
      </c>
      <c r="AH250" s="2" t="s">
        <v>524</v>
      </c>
      <c r="AI250" s="2" t="s">
        <v>43</v>
      </c>
      <c r="AJ250" s="2">
        <v>249</v>
      </c>
      <c r="AK250" s="2">
        <v>249</v>
      </c>
      <c r="AL250" s="2" t="s">
        <v>525</v>
      </c>
      <c r="AM250" s="2">
        <v>0</v>
      </c>
      <c r="AN250" s="2">
        <v>0</v>
      </c>
      <c r="AO250" s="2"/>
      <c r="AP250" s="2"/>
      <c r="AQ250" s="2" t="s">
        <v>48</v>
      </c>
      <c r="AR250" s="2" t="s">
        <v>874</v>
      </c>
      <c r="AS250" s="2" t="s">
        <v>908</v>
      </c>
      <c r="AT250" s="2" t="s">
        <v>909</v>
      </c>
      <c r="AU250" s="2" t="s">
        <v>1595</v>
      </c>
      <c r="AV250" s="2" t="s">
        <v>911</v>
      </c>
      <c r="AW250" s="2">
        <v>4.3580540425000001</v>
      </c>
      <c r="AX250" s="2">
        <v>50.860197397299999</v>
      </c>
    </row>
    <row r="251" spans="2:50" x14ac:dyDescent="0.25">
      <c r="B251" s="2">
        <v>438</v>
      </c>
      <c r="C251" s="2">
        <v>2168594</v>
      </c>
      <c r="D251" s="2" t="s">
        <v>643</v>
      </c>
      <c r="E251" s="2">
        <v>0</v>
      </c>
      <c r="F251" s="2">
        <v>0</v>
      </c>
      <c r="G251" s="2">
        <v>0</v>
      </c>
      <c r="H251" s="2">
        <v>15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f>SUM(parking_data_1030[[#This Row],[Résidenti]:[Autres]])</f>
        <v>15</v>
      </c>
      <c r="R251" s="2">
        <v>0</v>
      </c>
      <c r="S251" s="2">
        <v>0</v>
      </c>
      <c r="T251" s="2" t="s">
        <v>43</v>
      </c>
      <c r="U251" s="2" t="s">
        <v>64</v>
      </c>
      <c r="V251" s="2" t="s">
        <v>45</v>
      </c>
      <c r="W251" s="2">
        <v>0</v>
      </c>
      <c r="X251" s="2">
        <v>1</v>
      </c>
      <c r="Y251" s="2">
        <v>0</v>
      </c>
      <c r="Z251" s="2">
        <v>1</v>
      </c>
      <c r="AA251" s="2">
        <v>0</v>
      </c>
      <c r="AB251" s="2"/>
      <c r="AC251" s="2">
        <v>0</v>
      </c>
      <c r="AD251" s="2"/>
      <c r="AE251" s="2" t="s">
        <v>46</v>
      </c>
      <c r="AF251" s="2">
        <v>677</v>
      </c>
      <c r="AG251" s="2">
        <v>7</v>
      </c>
      <c r="AH251" s="2" t="s">
        <v>55</v>
      </c>
      <c r="AI251" s="2" t="s">
        <v>43</v>
      </c>
      <c r="AJ251" s="2">
        <v>-8</v>
      </c>
      <c r="AK251" s="2">
        <v>15</v>
      </c>
      <c r="AL251" s="2"/>
      <c r="AM251" s="2">
        <v>0</v>
      </c>
      <c r="AN251" s="2">
        <v>0</v>
      </c>
      <c r="AO251" s="2"/>
      <c r="AP251" s="2"/>
      <c r="AQ251" s="2" t="s">
        <v>48</v>
      </c>
      <c r="AR251" s="2" t="s">
        <v>1194</v>
      </c>
      <c r="AS251" s="2" t="s">
        <v>1195</v>
      </c>
      <c r="AT251" s="2" t="s">
        <v>1196</v>
      </c>
      <c r="AU251" s="2" t="s">
        <v>1197</v>
      </c>
      <c r="AV251" s="2" t="s">
        <v>911</v>
      </c>
      <c r="AW251" s="2">
        <v>4.3630691317999997</v>
      </c>
      <c r="AX251" s="2">
        <v>50.868827897999999</v>
      </c>
    </row>
    <row r="252" spans="2:50" x14ac:dyDescent="0.25">
      <c r="B252" s="2">
        <v>440</v>
      </c>
      <c r="C252" s="2">
        <v>2169069</v>
      </c>
      <c r="D252" s="2" t="s">
        <v>646</v>
      </c>
      <c r="E252" s="2">
        <v>30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f>SUM(parking_data_1030[[#This Row],[Résidenti]:[Autres]])</f>
        <v>30</v>
      </c>
      <c r="R252" s="2">
        <v>0</v>
      </c>
      <c r="S252" s="2">
        <v>0</v>
      </c>
      <c r="T252" s="2" t="s">
        <v>43</v>
      </c>
      <c r="U252" s="2" t="s">
        <v>76</v>
      </c>
      <c r="V252" s="2" t="s">
        <v>59</v>
      </c>
      <c r="W252" s="2">
        <v>1</v>
      </c>
      <c r="X252" s="2">
        <v>0</v>
      </c>
      <c r="Y252" s="2">
        <v>0</v>
      </c>
      <c r="Z252" s="2">
        <v>0</v>
      </c>
      <c r="AA252" s="2">
        <v>0</v>
      </c>
      <c r="AB252" s="2" t="s">
        <v>60</v>
      </c>
      <c r="AC252" s="2">
        <v>0</v>
      </c>
      <c r="AD252" s="2"/>
      <c r="AE252" s="2" t="s">
        <v>46</v>
      </c>
      <c r="AF252" s="2">
        <v>0</v>
      </c>
      <c r="AG252" s="2">
        <v>0</v>
      </c>
      <c r="AH252" s="2" t="s">
        <v>647</v>
      </c>
      <c r="AI252" s="2" t="s">
        <v>43</v>
      </c>
      <c r="AJ252" s="2">
        <v>0</v>
      </c>
      <c r="AK252" s="2">
        <v>0</v>
      </c>
      <c r="AL252" s="2"/>
      <c r="AM252" s="2">
        <v>0</v>
      </c>
      <c r="AN252" s="2">
        <v>0</v>
      </c>
      <c r="AO252" s="2"/>
      <c r="AP252" s="2"/>
      <c r="AQ252" s="2" t="s">
        <v>48</v>
      </c>
      <c r="AR252" s="2" t="s">
        <v>1207</v>
      </c>
      <c r="AS252" s="2" t="s">
        <v>1195</v>
      </c>
      <c r="AT252" s="2" t="s">
        <v>1196</v>
      </c>
      <c r="AU252" s="2" t="s">
        <v>1560</v>
      </c>
      <c r="AV252" s="2" t="s">
        <v>911</v>
      </c>
      <c r="AW252" s="2">
        <v>4.3632846163999996</v>
      </c>
      <c r="AX252" s="2">
        <v>50.867780374200002</v>
      </c>
    </row>
    <row r="253" spans="2:50" x14ac:dyDescent="0.25">
      <c r="B253" s="2">
        <v>365</v>
      </c>
      <c r="C253" s="2">
        <v>8778755</v>
      </c>
      <c r="D253" s="2" t="s">
        <v>412</v>
      </c>
      <c r="E253" s="2">
        <v>51</v>
      </c>
      <c r="F253" s="2">
        <v>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f>SUM(parking_data_1030[[#This Row],[Résidenti]:[Autres]])</f>
        <v>51</v>
      </c>
      <c r="R253" s="2">
        <v>0</v>
      </c>
      <c r="S253" s="2">
        <v>0</v>
      </c>
      <c r="T253" s="2" t="s">
        <v>43</v>
      </c>
      <c r="U253" s="2" t="s">
        <v>76</v>
      </c>
      <c r="V253" s="2" t="s">
        <v>59</v>
      </c>
      <c r="W253" s="2">
        <v>1</v>
      </c>
      <c r="X253" s="2">
        <v>1</v>
      </c>
      <c r="Y253" s="2">
        <v>0</v>
      </c>
      <c r="Z253" s="2">
        <v>0</v>
      </c>
      <c r="AA253" s="2">
        <v>0</v>
      </c>
      <c r="AB253" s="2"/>
      <c r="AC253" s="2">
        <v>0</v>
      </c>
      <c r="AD253" s="2"/>
      <c r="AE253" s="2" t="s">
        <v>46</v>
      </c>
      <c r="AF253" s="2">
        <v>0</v>
      </c>
      <c r="AG253" s="2">
        <v>0</v>
      </c>
      <c r="AH253" s="2"/>
      <c r="AI253" s="2" t="s">
        <v>43</v>
      </c>
      <c r="AJ253" s="2">
        <v>0</v>
      </c>
      <c r="AK253" s="2">
        <v>0</v>
      </c>
      <c r="AL253" s="2"/>
      <c r="AM253" s="2">
        <v>0</v>
      </c>
      <c r="AN253" s="2">
        <v>0</v>
      </c>
      <c r="AO253" s="2"/>
      <c r="AP253" s="2"/>
      <c r="AQ253" s="2" t="s">
        <v>48</v>
      </c>
      <c r="AR253" s="2" t="s">
        <v>964</v>
      </c>
      <c r="AS253" s="2" t="s">
        <v>1463</v>
      </c>
      <c r="AT253" s="2" t="s">
        <v>1464</v>
      </c>
      <c r="AU253" s="2" t="s">
        <v>1465</v>
      </c>
      <c r="AV253" s="2" t="s">
        <v>897</v>
      </c>
      <c r="AW253" s="2">
        <v>4.3684169619000004</v>
      </c>
      <c r="AX253" s="2">
        <v>50.859609945300001</v>
      </c>
    </row>
    <row r="254" spans="2:50" x14ac:dyDescent="0.25">
      <c r="B254" s="2">
        <v>364</v>
      </c>
      <c r="C254" s="2">
        <v>2144474</v>
      </c>
      <c r="D254" s="2" t="s">
        <v>410</v>
      </c>
      <c r="E254" s="2">
        <v>14</v>
      </c>
      <c r="F254" s="2">
        <v>0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f>SUM(parking_data_1030[[#This Row],[Résidenti]:[Autres]])</f>
        <v>14</v>
      </c>
      <c r="R254" s="2">
        <v>0</v>
      </c>
      <c r="S254" s="2">
        <v>0</v>
      </c>
      <c r="T254" s="2" t="s">
        <v>43</v>
      </c>
      <c r="U254" s="2" t="s">
        <v>76</v>
      </c>
      <c r="V254" s="2" t="s">
        <v>45</v>
      </c>
      <c r="W254" s="2">
        <v>1</v>
      </c>
      <c r="X254" s="2">
        <v>1</v>
      </c>
      <c r="Y254" s="2">
        <v>0</v>
      </c>
      <c r="Z254" s="2">
        <v>0</v>
      </c>
      <c r="AA254" s="2">
        <v>0</v>
      </c>
      <c r="AB254" s="2"/>
      <c r="AC254" s="2">
        <v>0</v>
      </c>
      <c r="AD254" s="2"/>
      <c r="AE254" s="2" t="s">
        <v>46</v>
      </c>
      <c r="AF254" s="2">
        <v>0</v>
      </c>
      <c r="AG254" s="2">
        <v>0</v>
      </c>
      <c r="AH254" s="2" t="s">
        <v>411</v>
      </c>
      <c r="AI254" s="2" t="s">
        <v>43</v>
      </c>
      <c r="AJ254" s="2">
        <v>0</v>
      </c>
      <c r="AK254" s="2">
        <v>0</v>
      </c>
      <c r="AL254" s="2"/>
      <c r="AM254" s="2">
        <v>0</v>
      </c>
      <c r="AN254" s="2">
        <v>0</v>
      </c>
      <c r="AO254" s="2"/>
      <c r="AP254" s="2"/>
      <c r="AQ254" s="2" t="s">
        <v>48</v>
      </c>
      <c r="AR254" s="2" t="s">
        <v>1460</v>
      </c>
      <c r="AS254" s="2" t="s">
        <v>1461</v>
      </c>
      <c r="AT254" s="2" t="s">
        <v>1462</v>
      </c>
      <c r="AU254" s="2" t="s">
        <v>1458</v>
      </c>
      <c r="AV254" s="2" t="s">
        <v>897</v>
      </c>
      <c r="AW254" s="2">
        <v>4.3685226125999996</v>
      </c>
      <c r="AX254" s="2">
        <v>50.858162175499999</v>
      </c>
    </row>
    <row r="255" spans="2:50" x14ac:dyDescent="0.25">
      <c r="B255" s="2">
        <v>366</v>
      </c>
      <c r="C255" s="2">
        <v>2134594</v>
      </c>
      <c r="D255" s="2" t="s">
        <v>413</v>
      </c>
      <c r="E255" s="2">
        <v>0</v>
      </c>
      <c r="F255" s="2">
        <v>0</v>
      </c>
      <c r="G255" s="2">
        <v>0</v>
      </c>
      <c r="H255" s="2">
        <v>0</v>
      </c>
      <c r="I255" s="2">
        <v>0</v>
      </c>
      <c r="J255" s="2">
        <v>0</v>
      </c>
      <c r="K255" s="2">
        <v>48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f>SUM(parking_data_1030[[#This Row],[Résidenti]:[Autres]])</f>
        <v>48</v>
      </c>
      <c r="R255" s="2">
        <v>0</v>
      </c>
      <c r="S255" s="2">
        <v>0</v>
      </c>
      <c r="T255" s="2" t="s">
        <v>43</v>
      </c>
      <c r="U255" s="2" t="s">
        <v>76</v>
      </c>
      <c r="V255" s="2" t="s">
        <v>59</v>
      </c>
      <c r="W255" s="2">
        <v>1</v>
      </c>
      <c r="X255" s="2">
        <v>1</v>
      </c>
      <c r="Y255" s="2">
        <v>1</v>
      </c>
      <c r="Z255" s="2">
        <v>0</v>
      </c>
      <c r="AA255" s="2">
        <v>1</v>
      </c>
      <c r="AB255" s="2"/>
      <c r="AC255" s="2">
        <v>0</v>
      </c>
      <c r="AD255" s="3">
        <v>45143</v>
      </c>
      <c r="AE255" s="2" t="s">
        <v>46</v>
      </c>
      <c r="AF255" s="2">
        <v>0</v>
      </c>
      <c r="AG255" s="2">
        <v>0</v>
      </c>
      <c r="AH255" s="2" t="s">
        <v>414</v>
      </c>
      <c r="AI255" s="2" t="s">
        <v>43</v>
      </c>
      <c r="AJ255" s="2">
        <v>0</v>
      </c>
      <c r="AK255" s="2">
        <v>48</v>
      </c>
      <c r="AL255" s="2" t="s">
        <v>415</v>
      </c>
      <c r="AM255" s="2">
        <v>2</v>
      </c>
      <c r="AN255" s="2">
        <v>1</v>
      </c>
      <c r="AO255" s="2" t="s">
        <v>416</v>
      </c>
      <c r="AP255" s="2" t="s">
        <v>417</v>
      </c>
      <c r="AQ255" s="2" t="s">
        <v>70</v>
      </c>
      <c r="AR255" s="2" t="s">
        <v>1466</v>
      </c>
      <c r="AS255" s="2" t="s">
        <v>1461</v>
      </c>
      <c r="AT255" s="2" t="s">
        <v>1462</v>
      </c>
      <c r="AU255" s="2" t="s">
        <v>1467</v>
      </c>
      <c r="AV255" s="2" t="s">
        <v>897</v>
      </c>
      <c r="AW255" s="2">
        <v>4.3680469278</v>
      </c>
      <c r="AX255" s="2">
        <v>50.858263018599999</v>
      </c>
    </row>
    <row r="256" spans="2:50" x14ac:dyDescent="0.25">
      <c r="B256" s="2">
        <v>105</v>
      </c>
      <c r="C256" s="2">
        <v>2163528</v>
      </c>
      <c r="D256" s="2" t="s">
        <v>741</v>
      </c>
      <c r="E256" s="2">
        <v>14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f>SUM(parking_data_1030[[#This Row],[Résidenti]:[Autres]])</f>
        <v>14</v>
      </c>
      <c r="R256" s="2">
        <v>0</v>
      </c>
      <c r="S256" s="2">
        <v>0</v>
      </c>
      <c r="T256" s="2" t="s">
        <v>43</v>
      </c>
      <c r="U256" s="2" t="s">
        <v>229</v>
      </c>
      <c r="V256" s="2" t="s">
        <v>45</v>
      </c>
      <c r="W256" s="2">
        <v>0</v>
      </c>
      <c r="X256" s="2">
        <v>0</v>
      </c>
      <c r="Y256" s="2">
        <v>0</v>
      </c>
      <c r="Z256" s="2">
        <v>1</v>
      </c>
      <c r="AA256" s="2">
        <v>0</v>
      </c>
      <c r="AB256" s="2"/>
      <c r="AC256" s="2">
        <v>0</v>
      </c>
      <c r="AD256" s="2"/>
      <c r="AE256" s="2" t="s">
        <v>106</v>
      </c>
      <c r="AF256" s="2">
        <v>0</v>
      </c>
      <c r="AG256" s="2">
        <v>0</v>
      </c>
      <c r="AH256" s="2"/>
      <c r="AI256" s="2" t="s">
        <v>43</v>
      </c>
      <c r="AJ256" s="2">
        <v>0</v>
      </c>
      <c r="AK256" s="2">
        <v>0</v>
      </c>
      <c r="AL256" s="2"/>
      <c r="AM256" s="2">
        <v>0</v>
      </c>
      <c r="AN256" s="2">
        <v>0</v>
      </c>
      <c r="AO256" s="2"/>
      <c r="AP256" s="2"/>
      <c r="AQ256" s="2" t="s">
        <v>48</v>
      </c>
      <c r="AR256" s="2" t="s">
        <v>1070</v>
      </c>
      <c r="AS256" s="2" t="s">
        <v>1071</v>
      </c>
      <c r="AT256" s="2" t="s">
        <v>1072</v>
      </c>
      <c r="AU256" s="2" t="s">
        <v>1073</v>
      </c>
      <c r="AV256" s="2" t="s">
        <v>1058</v>
      </c>
      <c r="AW256" s="2">
        <v>4.3988083054000002</v>
      </c>
      <c r="AX256" s="2">
        <v>50.859103586099998</v>
      </c>
    </row>
    <row r="257" spans="2:50" x14ac:dyDescent="0.25">
      <c r="B257" s="2">
        <v>28</v>
      </c>
      <c r="C257" s="2">
        <v>2174045</v>
      </c>
      <c r="D257" s="2" t="s">
        <v>766</v>
      </c>
      <c r="E257" s="2">
        <v>16</v>
      </c>
      <c r="F257" s="2">
        <v>0</v>
      </c>
      <c r="G257" s="2">
        <v>0</v>
      </c>
      <c r="H257" s="2">
        <v>27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  <c r="Q257" s="2">
        <f>SUM(parking_data_1030[[#This Row],[Résidenti]:[Autres]])</f>
        <v>43</v>
      </c>
      <c r="R257" s="2">
        <v>0</v>
      </c>
      <c r="S257" s="2">
        <v>0</v>
      </c>
      <c r="T257" s="2" t="s">
        <v>43</v>
      </c>
      <c r="U257" s="2" t="s">
        <v>44</v>
      </c>
      <c r="V257" s="2" t="s">
        <v>45</v>
      </c>
      <c r="W257" s="2">
        <v>1</v>
      </c>
      <c r="X257" s="2">
        <v>1</v>
      </c>
      <c r="Y257" s="2">
        <v>0</v>
      </c>
      <c r="Z257" s="2">
        <v>0</v>
      </c>
      <c r="AA257" s="2">
        <v>1</v>
      </c>
      <c r="AB257" s="2"/>
      <c r="AC257" s="2">
        <v>0</v>
      </c>
      <c r="AD257" s="3">
        <v>44745</v>
      </c>
      <c r="AE257" s="2" t="s">
        <v>46</v>
      </c>
      <c r="AF257" s="2">
        <v>910</v>
      </c>
      <c r="AG257" s="2">
        <v>10</v>
      </c>
      <c r="AH257" s="2" t="s">
        <v>767</v>
      </c>
      <c r="AI257" s="2" t="s">
        <v>43</v>
      </c>
      <c r="AJ257" s="2">
        <v>-17</v>
      </c>
      <c r="AK257" s="2">
        <v>27</v>
      </c>
      <c r="AL257" s="2"/>
      <c r="AM257" s="2">
        <v>9</v>
      </c>
      <c r="AN257" s="2">
        <v>0</v>
      </c>
      <c r="AO257" s="2" t="s">
        <v>768</v>
      </c>
      <c r="AP257" s="2"/>
      <c r="AQ257" s="2" t="s">
        <v>70</v>
      </c>
      <c r="AR257" s="2" t="s">
        <v>960</v>
      </c>
      <c r="AS257" s="2" t="s">
        <v>913</v>
      </c>
      <c r="AT257" s="2" t="s">
        <v>914</v>
      </c>
      <c r="AU257" s="2" t="s">
        <v>915</v>
      </c>
      <c r="AV257" s="2" t="s">
        <v>835</v>
      </c>
      <c r="AW257" s="2">
        <v>4.3810732113000004</v>
      </c>
      <c r="AX257" s="2">
        <v>50.872122380299999</v>
      </c>
    </row>
    <row r="258" spans="2:50" x14ac:dyDescent="0.25">
      <c r="B258" s="2">
        <v>29</v>
      </c>
      <c r="C258" s="2">
        <v>2174051</v>
      </c>
      <c r="D258" s="2" t="s">
        <v>769</v>
      </c>
      <c r="E258" s="2">
        <v>15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f>SUM(parking_data_1030[[#This Row],[Résidenti]:[Autres]])</f>
        <v>15</v>
      </c>
      <c r="R258" s="2">
        <v>0</v>
      </c>
      <c r="S258" s="2">
        <v>0</v>
      </c>
      <c r="T258" s="2" t="s">
        <v>43</v>
      </c>
      <c r="U258" s="2" t="s">
        <v>54</v>
      </c>
      <c r="V258" s="2" t="s">
        <v>45</v>
      </c>
      <c r="W258" s="2">
        <v>1</v>
      </c>
      <c r="X258" s="2">
        <v>1</v>
      </c>
      <c r="Y258" s="2">
        <v>0</v>
      </c>
      <c r="Z258" s="2">
        <v>0</v>
      </c>
      <c r="AA258" s="2">
        <v>0</v>
      </c>
      <c r="AB258" s="2"/>
      <c r="AC258" s="2">
        <v>0</v>
      </c>
      <c r="AD258" s="2"/>
      <c r="AE258" s="2" t="s">
        <v>46</v>
      </c>
      <c r="AF258" s="2">
        <v>0</v>
      </c>
      <c r="AG258" s="2">
        <v>0</v>
      </c>
      <c r="AH258" s="2"/>
      <c r="AI258" s="2" t="s">
        <v>43</v>
      </c>
      <c r="AJ258" s="2">
        <v>0</v>
      </c>
      <c r="AK258" s="2">
        <v>0</v>
      </c>
      <c r="AL258" s="2"/>
      <c r="AM258" s="2">
        <v>0</v>
      </c>
      <c r="AN258" s="2">
        <v>0</v>
      </c>
      <c r="AO258" s="2"/>
      <c r="AP258" s="2"/>
      <c r="AQ258" s="2" t="s">
        <v>48</v>
      </c>
      <c r="AR258" s="2" t="s">
        <v>912</v>
      </c>
      <c r="AS258" s="2" t="s">
        <v>913</v>
      </c>
      <c r="AT258" s="2" t="s">
        <v>914</v>
      </c>
      <c r="AU258" s="2" t="s">
        <v>915</v>
      </c>
      <c r="AV258" s="2" t="s">
        <v>835</v>
      </c>
      <c r="AW258" s="2">
        <v>4.3813154024000003</v>
      </c>
      <c r="AX258" s="2">
        <v>50.871985003399999</v>
      </c>
    </row>
    <row r="259" spans="2:50" x14ac:dyDescent="0.25">
      <c r="B259" s="2">
        <v>34</v>
      </c>
      <c r="C259" s="2">
        <v>2174169</v>
      </c>
      <c r="D259" s="2" t="s">
        <v>132</v>
      </c>
      <c r="E259" s="2">
        <v>33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f>SUM(parking_data_1030[[#This Row],[Résidenti]:[Autres]])</f>
        <v>33</v>
      </c>
      <c r="R259" s="2">
        <v>0</v>
      </c>
      <c r="S259" s="2">
        <v>0</v>
      </c>
      <c r="T259" s="2" t="s">
        <v>43</v>
      </c>
      <c r="U259" s="2" t="s">
        <v>76</v>
      </c>
      <c r="V259" s="2" t="s">
        <v>45</v>
      </c>
      <c r="W259" s="2">
        <v>0</v>
      </c>
      <c r="X259" s="2">
        <v>1</v>
      </c>
      <c r="Y259" s="2">
        <v>0</v>
      </c>
      <c r="Z259" s="2">
        <v>1</v>
      </c>
      <c r="AA259" s="2">
        <v>0</v>
      </c>
      <c r="AB259" s="2"/>
      <c r="AC259" s="2">
        <v>0</v>
      </c>
      <c r="AD259" s="2"/>
      <c r="AE259" s="2" t="s">
        <v>46</v>
      </c>
      <c r="AF259" s="2">
        <v>0</v>
      </c>
      <c r="AG259" s="2">
        <v>0</v>
      </c>
      <c r="AH259" s="2" t="s">
        <v>120</v>
      </c>
      <c r="AI259" s="2" t="s">
        <v>43</v>
      </c>
      <c r="AJ259" s="2">
        <v>0</v>
      </c>
      <c r="AK259" s="2">
        <v>0</v>
      </c>
      <c r="AL259" s="2"/>
      <c r="AM259" s="2">
        <v>0</v>
      </c>
      <c r="AN259" s="2">
        <v>0</v>
      </c>
      <c r="AO259" s="2"/>
      <c r="AP259" s="2"/>
      <c r="AQ259" s="2" t="s">
        <v>48</v>
      </c>
      <c r="AR259" s="2" t="s">
        <v>924</v>
      </c>
      <c r="AS259" s="2" t="s">
        <v>913</v>
      </c>
      <c r="AT259" s="2" t="s">
        <v>914</v>
      </c>
      <c r="AU259" s="2" t="s">
        <v>925</v>
      </c>
      <c r="AV259" s="2" t="s">
        <v>835</v>
      </c>
      <c r="AW259" s="2">
        <v>4.3831529848999997</v>
      </c>
      <c r="AX259" s="2">
        <v>50.8708169441</v>
      </c>
    </row>
    <row r="260" spans="2:50" x14ac:dyDescent="0.25">
      <c r="B260" s="2">
        <v>63</v>
      </c>
      <c r="C260" s="2">
        <v>7150305</v>
      </c>
      <c r="D260" s="2" t="s">
        <v>100</v>
      </c>
      <c r="E260" s="2">
        <v>0</v>
      </c>
      <c r="F260" s="2">
        <v>0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204</v>
      </c>
      <c r="M260" s="2">
        <v>0</v>
      </c>
      <c r="N260" s="2">
        <v>0</v>
      </c>
      <c r="O260" s="2">
        <v>92</v>
      </c>
      <c r="P260" s="2">
        <v>0</v>
      </c>
      <c r="Q260" s="2">
        <f>SUM(parking_data_1030[[#This Row],[Résidenti]:[Autres]])</f>
        <v>296</v>
      </c>
      <c r="R260" s="2">
        <v>92</v>
      </c>
      <c r="S260" s="2">
        <v>0</v>
      </c>
      <c r="T260" s="2" t="s">
        <v>43</v>
      </c>
      <c r="U260" s="2" t="s">
        <v>95</v>
      </c>
      <c r="V260" s="2" t="s">
        <v>59</v>
      </c>
      <c r="W260" s="2">
        <v>1</v>
      </c>
      <c r="X260" s="2">
        <v>1</v>
      </c>
      <c r="Y260" s="2">
        <v>1</v>
      </c>
      <c r="Z260" s="2">
        <v>0</v>
      </c>
      <c r="AA260" s="2">
        <v>1</v>
      </c>
      <c r="AB260" s="2"/>
      <c r="AC260" s="2">
        <v>0</v>
      </c>
      <c r="AD260" s="3">
        <v>44319</v>
      </c>
      <c r="AE260" s="2" t="s">
        <v>46</v>
      </c>
      <c r="AF260" s="2">
        <v>0</v>
      </c>
      <c r="AG260" s="2">
        <v>0</v>
      </c>
      <c r="AH260" s="2" t="s">
        <v>101</v>
      </c>
      <c r="AI260" s="2" t="s">
        <v>43</v>
      </c>
      <c r="AJ260" s="2">
        <v>0</v>
      </c>
      <c r="AK260" s="2">
        <v>296</v>
      </c>
      <c r="AL260" s="2" t="s">
        <v>102</v>
      </c>
      <c r="AM260" s="2">
        <v>3</v>
      </c>
      <c r="AN260" s="2">
        <v>1</v>
      </c>
      <c r="AO260" s="2" t="s">
        <v>103</v>
      </c>
      <c r="AP260" s="2" t="s">
        <v>104</v>
      </c>
      <c r="AQ260" s="2" t="s">
        <v>70</v>
      </c>
      <c r="AR260" s="2" t="s">
        <v>947</v>
      </c>
      <c r="AS260" s="2" t="s">
        <v>913</v>
      </c>
      <c r="AT260" s="2" t="s">
        <v>914</v>
      </c>
      <c r="AU260" s="2" t="s">
        <v>989</v>
      </c>
      <c r="AV260" s="2" t="s">
        <v>835</v>
      </c>
      <c r="AW260" s="2">
        <v>4.3846707063999997</v>
      </c>
      <c r="AX260" s="2">
        <v>50.869508522300002</v>
      </c>
    </row>
    <row r="261" spans="2:50" x14ac:dyDescent="0.25">
      <c r="B261" s="2">
        <v>94</v>
      </c>
      <c r="C261" s="2">
        <v>2163113</v>
      </c>
      <c r="D261" s="2" t="s">
        <v>685</v>
      </c>
      <c r="E261" s="2">
        <v>11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f>SUM(parking_data_1030[[#This Row],[Résidenti]:[Autres]])</f>
        <v>11</v>
      </c>
      <c r="R261" s="2">
        <v>0</v>
      </c>
      <c r="S261" s="2">
        <v>0</v>
      </c>
      <c r="T261" s="2" t="s">
        <v>43</v>
      </c>
      <c r="U261" s="2" t="s">
        <v>54</v>
      </c>
      <c r="V261" s="2" t="s">
        <v>45</v>
      </c>
      <c r="W261" s="2">
        <v>1</v>
      </c>
      <c r="X261" s="2">
        <v>1</v>
      </c>
      <c r="Y261" s="2">
        <v>0</v>
      </c>
      <c r="Z261" s="2">
        <v>0</v>
      </c>
      <c r="AA261" s="2">
        <v>0</v>
      </c>
      <c r="AB261" s="2"/>
      <c r="AC261" s="2">
        <v>0</v>
      </c>
      <c r="AD261" s="2"/>
      <c r="AE261" s="2" t="s">
        <v>46</v>
      </c>
      <c r="AF261" s="2">
        <v>0</v>
      </c>
      <c r="AG261" s="2">
        <v>0</v>
      </c>
      <c r="AH261" s="2"/>
      <c r="AI261" s="2" t="s">
        <v>43</v>
      </c>
      <c r="AJ261" s="2">
        <v>0</v>
      </c>
      <c r="AK261" s="2">
        <v>0</v>
      </c>
      <c r="AL261" s="2"/>
      <c r="AM261" s="2">
        <v>0</v>
      </c>
      <c r="AN261" s="2">
        <v>0</v>
      </c>
      <c r="AO261" s="2"/>
      <c r="AP261" s="2"/>
      <c r="AQ261" s="2" t="s">
        <v>48</v>
      </c>
      <c r="AR261" s="2" t="s">
        <v>1054</v>
      </c>
      <c r="AS261" s="2" t="s">
        <v>913</v>
      </c>
      <c r="AT261" s="2" t="s">
        <v>914</v>
      </c>
      <c r="AU261" s="2" t="s">
        <v>1053</v>
      </c>
      <c r="AV261" s="2" t="s">
        <v>1000</v>
      </c>
      <c r="AW261" s="2">
        <v>4.3914462235</v>
      </c>
      <c r="AX261" s="2">
        <v>50.861581008599998</v>
      </c>
    </row>
    <row r="262" spans="2:50" x14ac:dyDescent="0.25">
      <c r="B262" s="2">
        <v>95</v>
      </c>
      <c r="C262" s="2">
        <v>2163100</v>
      </c>
      <c r="D262" s="2" t="s">
        <v>686</v>
      </c>
      <c r="E262" s="2">
        <v>18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f>SUM(parking_data_1030[[#This Row],[Résidenti]:[Autres]])</f>
        <v>18</v>
      </c>
      <c r="R262" s="2">
        <v>0</v>
      </c>
      <c r="S262" s="2">
        <v>0</v>
      </c>
      <c r="T262" s="2" t="s">
        <v>43</v>
      </c>
      <c r="U262" s="2" t="s">
        <v>44</v>
      </c>
      <c r="V262" s="2" t="s">
        <v>45</v>
      </c>
      <c r="W262" s="2">
        <v>0</v>
      </c>
      <c r="X262" s="2">
        <v>1</v>
      </c>
      <c r="Y262" s="2">
        <v>0</v>
      </c>
      <c r="Z262" s="2">
        <v>1</v>
      </c>
      <c r="AA262" s="2">
        <v>0</v>
      </c>
      <c r="AB262" s="2"/>
      <c r="AC262" s="2">
        <v>0</v>
      </c>
      <c r="AD262" s="2"/>
      <c r="AE262" s="2" t="s">
        <v>46</v>
      </c>
      <c r="AF262" s="2">
        <v>0</v>
      </c>
      <c r="AG262" s="2">
        <v>0</v>
      </c>
      <c r="AH262" s="2" t="s">
        <v>120</v>
      </c>
      <c r="AI262" s="2" t="s">
        <v>43</v>
      </c>
      <c r="AJ262" s="2">
        <v>0</v>
      </c>
      <c r="AK262" s="2">
        <v>0</v>
      </c>
      <c r="AL262" s="2"/>
      <c r="AM262" s="2">
        <v>0</v>
      </c>
      <c r="AN262" s="2">
        <v>0</v>
      </c>
      <c r="AO262" s="2"/>
      <c r="AP262" s="2"/>
      <c r="AQ262" s="2" t="s">
        <v>48</v>
      </c>
      <c r="AR262" s="2" t="s">
        <v>1055</v>
      </c>
      <c r="AS262" s="2" t="s">
        <v>913</v>
      </c>
      <c r="AT262" s="2" t="s">
        <v>914</v>
      </c>
      <c r="AU262" s="2" t="s">
        <v>1056</v>
      </c>
      <c r="AV262" s="2" t="s">
        <v>1000</v>
      </c>
      <c r="AW262" s="2">
        <v>4.3892715548999996</v>
      </c>
      <c r="AX262" s="2">
        <v>50.862173235699998</v>
      </c>
    </row>
    <row r="263" spans="2:50" x14ac:dyDescent="0.25">
      <c r="B263" s="2">
        <v>418</v>
      </c>
      <c r="C263" s="2">
        <v>2172835</v>
      </c>
      <c r="D263" s="2" t="s">
        <v>582</v>
      </c>
      <c r="E263" s="2">
        <v>16</v>
      </c>
      <c r="F263" s="2">
        <v>0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f>SUM(parking_data_1030[[#This Row],[Résidenti]:[Autres]])</f>
        <v>16</v>
      </c>
      <c r="R263" s="2">
        <v>0</v>
      </c>
      <c r="S263" s="2">
        <v>0</v>
      </c>
      <c r="T263" s="2" t="s">
        <v>43</v>
      </c>
      <c r="U263" s="2" t="s">
        <v>76</v>
      </c>
      <c r="V263" s="2" t="s">
        <v>45</v>
      </c>
      <c r="W263" s="2">
        <v>1</v>
      </c>
      <c r="X263" s="2">
        <v>1</v>
      </c>
      <c r="Y263" s="2">
        <v>0</v>
      </c>
      <c r="Z263" s="2">
        <v>0</v>
      </c>
      <c r="AA263" s="2">
        <v>0</v>
      </c>
      <c r="AB263" s="2"/>
      <c r="AC263" s="2">
        <v>0</v>
      </c>
      <c r="AD263" s="2"/>
      <c r="AE263" s="2" t="s">
        <v>46</v>
      </c>
      <c r="AF263" s="2">
        <v>0</v>
      </c>
      <c r="AG263" s="2">
        <v>0</v>
      </c>
      <c r="AH263" s="2"/>
      <c r="AI263" s="2" t="s">
        <v>43</v>
      </c>
      <c r="AJ263" s="2">
        <v>0</v>
      </c>
      <c r="AK263" s="2">
        <v>0</v>
      </c>
      <c r="AL263" s="2"/>
      <c r="AM263" s="2">
        <v>0</v>
      </c>
      <c r="AN263" s="2">
        <v>0</v>
      </c>
      <c r="AO263" s="2"/>
      <c r="AP263" s="2"/>
      <c r="AQ263" s="2" t="s">
        <v>48</v>
      </c>
      <c r="AR263" s="2" t="s">
        <v>938</v>
      </c>
      <c r="AS263" s="2" t="s">
        <v>913</v>
      </c>
      <c r="AT263" s="2" t="s">
        <v>914</v>
      </c>
      <c r="AU263" s="2" t="s">
        <v>1539</v>
      </c>
      <c r="AV263" s="2" t="s">
        <v>1170</v>
      </c>
      <c r="AW263" s="2">
        <v>4.3778371972999999</v>
      </c>
      <c r="AX263" s="2">
        <v>50.872951803200003</v>
      </c>
    </row>
    <row r="264" spans="2:50" x14ac:dyDescent="0.25">
      <c r="B264" s="2">
        <v>53</v>
      </c>
      <c r="C264" s="2">
        <v>3000164</v>
      </c>
      <c r="D264" s="2" t="s">
        <v>113</v>
      </c>
      <c r="E264" s="2">
        <v>10</v>
      </c>
      <c r="F264" s="2">
        <v>0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f>SUM(parking_data_1030[[#This Row],[Résidenti]:[Autres]])</f>
        <v>10</v>
      </c>
      <c r="R264" s="2">
        <v>0</v>
      </c>
      <c r="S264" s="2">
        <v>0</v>
      </c>
      <c r="T264" s="2" t="s">
        <v>43</v>
      </c>
      <c r="U264" s="2" t="s">
        <v>54</v>
      </c>
      <c r="V264" s="2" t="s">
        <v>45</v>
      </c>
      <c r="W264" s="2">
        <v>0</v>
      </c>
      <c r="X264" s="2">
        <v>1</v>
      </c>
      <c r="Y264" s="2">
        <v>0</v>
      </c>
      <c r="Z264" s="2">
        <v>1</v>
      </c>
      <c r="AA264" s="2">
        <v>0</v>
      </c>
      <c r="AB264" s="2"/>
      <c r="AC264" s="2">
        <v>0</v>
      </c>
      <c r="AD264" s="2"/>
      <c r="AE264" s="2" t="s">
        <v>46</v>
      </c>
      <c r="AF264" s="2">
        <v>0</v>
      </c>
      <c r="AG264" s="2">
        <v>0</v>
      </c>
      <c r="AH264" s="2" t="s">
        <v>55</v>
      </c>
      <c r="AI264" s="2" t="s">
        <v>43</v>
      </c>
      <c r="AJ264" s="2">
        <v>0</v>
      </c>
      <c r="AK264" s="2">
        <v>0</v>
      </c>
      <c r="AL264" s="2"/>
      <c r="AM264" s="2">
        <v>0</v>
      </c>
      <c r="AN264" s="2">
        <v>0</v>
      </c>
      <c r="AO264" s="2"/>
      <c r="AP264" s="2"/>
      <c r="AQ264" s="2" t="s">
        <v>48</v>
      </c>
      <c r="AR264" s="2" t="s">
        <v>870</v>
      </c>
      <c r="AS264" s="2" t="s">
        <v>974</v>
      </c>
      <c r="AT264" s="2" t="s">
        <v>975</v>
      </c>
      <c r="AU264" s="2" t="s">
        <v>976</v>
      </c>
      <c r="AV264" s="2" t="s">
        <v>835</v>
      </c>
      <c r="AW264" s="2">
        <v>4.3896640300999996</v>
      </c>
      <c r="AX264" s="2">
        <v>50.873210995900003</v>
      </c>
    </row>
    <row r="265" spans="2:50" x14ac:dyDescent="0.25">
      <c r="B265" s="2">
        <v>54</v>
      </c>
      <c r="C265" s="2">
        <v>2132403</v>
      </c>
      <c r="D265" s="2" t="s">
        <v>816</v>
      </c>
      <c r="E265" s="2">
        <v>0</v>
      </c>
      <c r="F265" s="2">
        <v>0</v>
      </c>
      <c r="G265" s="2">
        <v>0</v>
      </c>
      <c r="H265" s="2">
        <v>0</v>
      </c>
      <c r="I265" s="2">
        <v>0</v>
      </c>
      <c r="J265" s="2">
        <v>0</v>
      </c>
      <c r="K265" s="2">
        <v>31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f>SUM(parking_data_1030[[#This Row],[Résidenti]:[Autres]])</f>
        <v>31</v>
      </c>
      <c r="R265" s="2">
        <v>20</v>
      </c>
      <c r="S265" s="2">
        <v>20</v>
      </c>
      <c r="T265" s="2" t="s">
        <v>43</v>
      </c>
      <c r="U265" s="2" t="s">
        <v>76</v>
      </c>
      <c r="V265" s="2" t="s">
        <v>59</v>
      </c>
      <c r="W265" s="2">
        <v>1</v>
      </c>
      <c r="X265" s="2">
        <v>1</v>
      </c>
      <c r="Y265" s="2">
        <v>0</v>
      </c>
      <c r="Z265" s="2">
        <v>0</v>
      </c>
      <c r="AA265" s="2">
        <v>1</v>
      </c>
      <c r="AB265" s="2"/>
      <c r="AC265" s="2">
        <v>59</v>
      </c>
      <c r="AD265" s="2"/>
      <c r="AE265" s="2" t="s">
        <v>46</v>
      </c>
      <c r="AF265" s="2">
        <v>0</v>
      </c>
      <c r="AG265" s="2">
        <v>0</v>
      </c>
      <c r="AH265" s="2"/>
      <c r="AI265" s="2" t="s">
        <v>43</v>
      </c>
      <c r="AJ265" s="2">
        <v>0</v>
      </c>
      <c r="AK265" s="2">
        <v>31</v>
      </c>
      <c r="AL265" s="2"/>
      <c r="AM265" s="2">
        <v>0</v>
      </c>
      <c r="AN265" s="2">
        <v>0</v>
      </c>
      <c r="AO265" s="2"/>
      <c r="AP265" s="2"/>
      <c r="AQ265" s="2" t="s">
        <v>48</v>
      </c>
      <c r="AR265" s="2" t="s">
        <v>977</v>
      </c>
      <c r="AS265" s="2" t="s">
        <v>974</v>
      </c>
      <c r="AT265" s="2" t="s">
        <v>975</v>
      </c>
      <c r="AU265" s="2" t="s">
        <v>978</v>
      </c>
      <c r="AV265" s="2" t="s">
        <v>835</v>
      </c>
      <c r="AW265" s="2">
        <v>4.3890805238999997</v>
      </c>
      <c r="AX265" s="2">
        <v>50.873601405599999</v>
      </c>
    </row>
    <row r="266" spans="2:50" x14ac:dyDescent="0.25">
      <c r="B266" s="2">
        <v>57</v>
      </c>
      <c r="C266" s="2">
        <v>3000134</v>
      </c>
      <c r="D266" s="2" t="s">
        <v>88</v>
      </c>
      <c r="E266" s="2">
        <v>14</v>
      </c>
      <c r="F266" s="2">
        <v>0</v>
      </c>
      <c r="G266" s="2">
        <v>0</v>
      </c>
      <c r="H266" s="2">
        <v>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f>SUM(parking_data_1030[[#This Row],[Résidenti]:[Autres]])</f>
        <v>14</v>
      </c>
      <c r="R266" s="2">
        <v>0</v>
      </c>
      <c r="S266" s="2">
        <v>0</v>
      </c>
      <c r="T266" s="2" t="s">
        <v>43</v>
      </c>
      <c r="U266" s="2" t="s">
        <v>44</v>
      </c>
      <c r="V266" s="2" t="s">
        <v>45</v>
      </c>
      <c r="W266" s="2">
        <v>1</v>
      </c>
      <c r="X266" s="2">
        <v>0</v>
      </c>
      <c r="Y266" s="2">
        <v>0</v>
      </c>
      <c r="Z266" s="2">
        <v>0</v>
      </c>
      <c r="AA266" s="2">
        <v>0</v>
      </c>
      <c r="AB266" s="2"/>
      <c r="AC266" s="2">
        <v>0</v>
      </c>
      <c r="AD266" s="2"/>
      <c r="AE266" s="2" t="s">
        <v>46</v>
      </c>
      <c r="AF266" s="2">
        <v>0</v>
      </c>
      <c r="AG266" s="2">
        <v>0</v>
      </c>
      <c r="AH266" s="2"/>
      <c r="AI266" s="2" t="s">
        <v>43</v>
      </c>
      <c r="AJ266" s="2">
        <v>0</v>
      </c>
      <c r="AK266" s="2">
        <v>0</v>
      </c>
      <c r="AL266" s="2"/>
      <c r="AM266" s="2">
        <v>0</v>
      </c>
      <c r="AN266" s="2">
        <v>0</v>
      </c>
      <c r="AO266" s="2"/>
      <c r="AP266" s="2"/>
      <c r="AQ266" s="2" t="s">
        <v>48</v>
      </c>
      <c r="AR266" s="2" t="s">
        <v>983</v>
      </c>
      <c r="AS266" s="2" t="s">
        <v>974</v>
      </c>
      <c r="AT266" s="2" t="s">
        <v>975</v>
      </c>
      <c r="AU266" s="2" t="s">
        <v>984</v>
      </c>
      <c r="AV266" s="2" t="s">
        <v>835</v>
      </c>
      <c r="AW266" s="2">
        <v>4.3898184432000003</v>
      </c>
      <c r="AX266" s="2">
        <v>50.872029574000003</v>
      </c>
    </row>
    <row r="267" spans="2:50" x14ac:dyDescent="0.25">
      <c r="B267" s="2">
        <v>58</v>
      </c>
      <c r="C267" s="2">
        <v>2179698</v>
      </c>
      <c r="D267" s="2" t="s">
        <v>89</v>
      </c>
      <c r="E267" s="2">
        <v>67</v>
      </c>
      <c r="F267" s="2">
        <v>0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f>SUM(parking_data_1030[[#This Row],[Résidenti]:[Autres]])</f>
        <v>67</v>
      </c>
      <c r="R267" s="2">
        <v>0</v>
      </c>
      <c r="S267" s="2">
        <v>0</v>
      </c>
      <c r="T267" s="2" t="s">
        <v>43</v>
      </c>
      <c r="U267" s="2" t="s">
        <v>44</v>
      </c>
      <c r="V267" s="2" t="s">
        <v>45</v>
      </c>
      <c r="W267" s="2">
        <v>1</v>
      </c>
      <c r="X267" s="2">
        <v>1</v>
      </c>
      <c r="Y267" s="2">
        <v>0</v>
      </c>
      <c r="Z267" s="2">
        <v>0</v>
      </c>
      <c r="AA267" s="2">
        <v>0</v>
      </c>
      <c r="AB267" s="2"/>
      <c r="AC267" s="2">
        <v>0</v>
      </c>
      <c r="AD267" s="2"/>
      <c r="AE267" s="2" t="s">
        <v>46</v>
      </c>
      <c r="AF267" s="2">
        <v>0</v>
      </c>
      <c r="AG267" s="2">
        <v>0</v>
      </c>
      <c r="AH267" s="2" t="s">
        <v>90</v>
      </c>
      <c r="AI267" s="2" t="s">
        <v>43</v>
      </c>
      <c r="AJ267" s="2">
        <v>0</v>
      </c>
      <c r="AK267" s="2">
        <v>0</v>
      </c>
      <c r="AL267" s="2"/>
      <c r="AM267" s="2">
        <v>0</v>
      </c>
      <c r="AN267" s="2">
        <v>0</v>
      </c>
      <c r="AO267" s="2"/>
      <c r="AP267" s="2"/>
      <c r="AQ267" s="2" t="s">
        <v>48</v>
      </c>
      <c r="AR267" s="2" t="s">
        <v>985</v>
      </c>
      <c r="AS267" s="2" t="s">
        <v>974</v>
      </c>
      <c r="AT267" s="2" t="s">
        <v>975</v>
      </c>
      <c r="AU267" s="2" t="s">
        <v>984</v>
      </c>
      <c r="AV267" s="2" t="s">
        <v>835</v>
      </c>
      <c r="AW267" s="2">
        <v>4.3902634302000001</v>
      </c>
      <c r="AX267" s="2">
        <v>50.871478239600002</v>
      </c>
    </row>
    <row r="268" spans="2:50" x14ac:dyDescent="0.25">
      <c r="B268" s="2">
        <v>254</v>
      </c>
      <c r="C268" s="2">
        <v>2133625</v>
      </c>
      <c r="D268" s="2" t="s">
        <v>798</v>
      </c>
      <c r="E268" s="2">
        <v>0</v>
      </c>
      <c r="F268" s="2">
        <v>0</v>
      </c>
      <c r="G268" s="2">
        <v>0</v>
      </c>
      <c r="H268" s="2">
        <v>0</v>
      </c>
      <c r="I268" s="2">
        <v>179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f>SUM(parking_data_1030[[#This Row],[Résidenti]:[Autres]])</f>
        <v>179</v>
      </c>
      <c r="R268" s="2">
        <v>40</v>
      </c>
      <c r="S268" s="2">
        <v>40</v>
      </c>
      <c r="T268" s="2" t="s">
        <v>43</v>
      </c>
      <c r="U268" s="2" t="s">
        <v>58</v>
      </c>
      <c r="V268" s="2" t="s">
        <v>45</v>
      </c>
      <c r="W268" s="2">
        <v>1</v>
      </c>
      <c r="X268" s="2">
        <v>1</v>
      </c>
      <c r="Y268" s="2">
        <v>1</v>
      </c>
      <c r="Z268" s="2">
        <v>0</v>
      </c>
      <c r="AA268" s="2">
        <v>1</v>
      </c>
      <c r="AB268" s="2"/>
      <c r="AC268" s="2">
        <v>100</v>
      </c>
      <c r="AD268" s="2"/>
      <c r="AE268" s="2" t="s">
        <v>106</v>
      </c>
      <c r="AF268" s="2">
        <v>0</v>
      </c>
      <c r="AG268" s="2">
        <v>0</v>
      </c>
      <c r="AH268" s="2" t="s">
        <v>799</v>
      </c>
      <c r="AI268" s="2" t="s">
        <v>43</v>
      </c>
      <c r="AJ268" s="2">
        <v>0</v>
      </c>
      <c r="AK268" s="2">
        <v>179</v>
      </c>
      <c r="AL268" s="2"/>
      <c r="AM268" s="2">
        <v>0</v>
      </c>
      <c r="AN268" s="2">
        <v>0</v>
      </c>
      <c r="AO268" s="2"/>
      <c r="AP268" s="2"/>
      <c r="AQ268" s="2" t="s">
        <v>48</v>
      </c>
      <c r="AR268" s="2" t="s">
        <v>1226</v>
      </c>
      <c r="AS268" s="2" t="s">
        <v>1297</v>
      </c>
      <c r="AT268" s="2" t="s">
        <v>1298</v>
      </c>
      <c r="AU268" s="2" t="s">
        <v>1295</v>
      </c>
      <c r="AV268" s="2" t="s">
        <v>1142</v>
      </c>
      <c r="AW268" s="2">
        <v>4.3911902019999998</v>
      </c>
      <c r="AX268" s="2">
        <v>50.850543543000001</v>
      </c>
    </row>
    <row r="269" spans="2:50" x14ac:dyDescent="0.25">
      <c r="B269" s="2">
        <v>419</v>
      </c>
      <c r="C269" s="2">
        <v>2173760</v>
      </c>
      <c r="D269" s="2" t="s">
        <v>583</v>
      </c>
      <c r="E269" s="2">
        <v>26</v>
      </c>
      <c r="F269" s="2">
        <v>0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f>SUM(parking_data_1030[[#This Row],[Résidenti]:[Autres]])</f>
        <v>26</v>
      </c>
      <c r="R269" s="2">
        <v>0</v>
      </c>
      <c r="S269" s="2">
        <v>0</v>
      </c>
      <c r="T269" s="2" t="s">
        <v>43</v>
      </c>
      <c r="U269" s="2" t="s">
        <v>54</v>
      </c>
      <c r="V269" s="2" t="s">
        <v>45</v>
      </c>
      <c r="W269" s="2">
        <v>0</v>
      </c>
      <c r="X269" s="2">
        <v>1</v>
      </c>
      <c r="Y269" s="2">
        <v>0</v>
      </c>
      <c r="Z269" s="2">
        <v>1</v>
      </c>
      <c r="AA269" s="2">
        <v>0</v>
      </c>
      <c r="AB269" s="2"/>
      <c r="AC269" s="2">
        <v>0</v>
      </c>
      <c r="AD269" s="2"/>
      <c r="AE269" s="2" t="s">
        <v>46</v>
      </c>
      <c r="AF269" s="2">
        <v>0</v>
      </c>
      <c r="AG269" s="2">
        <v>0</v>
      </c>
      <c r="AH269" s="2" t="s">
        <v>55</v>
      </c>
      <c r="AI269" s="2" t="s">
        <v>43</v>
      </c>
      <c r="AJ269" s="2">
        <v>0</v>
      </c>
      <c r="AK269" s="2">
        <v>0</v>
      </c>
      <c r="AL269" s="2"/>
      <c r="AM269" s="2">
        <v>0</v>
      </c>
      <c r="AN269" s="2">
        <v>0</v>
      </c>
      <c r="AO269" s="2"/>
      <c r="AP269" s="2"/>
      <c r="AQ269" s="2" t="s">
        <v>48</v>
      </c>
      <c r="AR269" s="2" t="s">
        <v>1185</v>
      </c>
      <c r="AS269" s="2" t="s">
        <v>1540</v>
      </c>
      <c r="AT269" s="2" t="s">
        <v>1541</v>
      </c>
      <c r="AU269" s="2" t="s">
        <v>1542</v>
      </c>
      <c r="AV269" s="2" t="s">
        <v>1170</v>
      </c>
      <c r="AW269" s="2">
        <v>4.3795795809999998</v>
      </c>
      <c r="AX269" s="2">
        <v>50.871411200799997</v>
      </c>
    </row>
    <row r="270" spans="2:50" x14ac:dyDescent="0.25">
      <c r="B270" s="2">
        <v>109</v>
      </c>
      <c r="C270" s="2">
        <v>2134582</v>
      </c>
      <c r="D270" s="2" t="s">
        <v>747</v>
      </c>
      <c r="E270" s="2">
        <v>35</v>
      </c>
      <c r="F270" s="2">
        <v>0</v>
      </c>
      <c r="G270" s="2">
        <v>0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f>SUM(parking_data_1030[[#This Row],[Résidenti]:[Autres]])</f>
        <v>35</v>
      </c>
      <c r="R270" s="2">
        <v>0</v>
      </c>
      <c r="S270" s="2">
        <v>0</v>
      </c>
      <c r="T270" s="2" t="s">
        <v>43</v>
      </c>
      <c r="U270" s="2" t="s">
        <v>115</v>
      </c>
      <c r="V270" s="2" t="s">
        <v>45</v>
      </c>
      <c r="W270" s="2">
        <v>1</v>
      </c>
      <c r="X270" s="2">
        <v>1</v>
      </c>
      <c r="Y270" s="2">
        <v>0</v>
      </c>
      <c r="Z270" s="2">
        <v>1</v>
      </c>
      <c r="AA270" s="2">
        <v>0</v>
      </c>
      <c r="AB270" s="2"/>
      <c r="AC270" s="2">
        <v>0</v>
      </c>
      <c r="AD270" s="2"/>
      <c r="AE270" s="2" t="s">
        <v>106</v>
      </c>
      <c r="AF270" s="2">
        <v>0</v>
      </c>
      <c r="AG270" s="2">
        <v>0</v>
      </c>
      <c r="AH270" s="2"/>
      <c r="AI270" s="2" t="s">
        <v>43</v>
      </c>
      <c r="AJ270" s="2">
        <v>0</v>
      </c>
      <c r="AK270" s="2">
        <v>0</v>
      </c>
      <c r="AL270" s="2"/>
      <c r="AM270" s="2">
        <v>0</v>
      </c>
      <c r="AN270" s="2">
        <v>0</v>
      </c>
      <c r="AO270" s="2"/>
      <c r="AP270" s="2"/>
      <c r="AQ270" s="2" t="s">
        <v>48</v>
      </c>
      <c r="AR270" s="2" t="s">
        <v>1077</v>
      </c>
      <c r="AS270" s="2" t="s">
        <v>1078</v>
      </c>
      <c r="AT270" s="2" t="s">
        <v>1079</v>
      </c>
      <c r="AU270" s="2" t="s">
        <v>1061</v>
      </c>
      <c r="AV270" s="2" t="s">
        <v>1058</v>
      </c>
      <c r="AW270" s="2">
        <v>4.4010419862000001</v>
      </c>
      <c r="AX270" s="2">
        <v>50.861417762099997</v>
      </c>
    </row>
    <row r="271" spans="2:50" x14ac:dyDescent="0.25">
      <c r="B271" s="2">
        <v>117</v>
      </c>
      <c r="C271" s="2">
        <v>2134571</v>
      </c>
      <c r="D271" s="2" t="s">
        <v>735</v>
      </c>
      <c r="E271" s="2">
        <v>43</v>
      </c>
      <c r="F271" s="2">
        <v>0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f>SUM(parking_data_1030[[#This Row],[Résidenti]:[Autres]])</f>
        <v>43</v>
      </c>
      <c r="R271" s="2">
        <v>0</v>
      </c>
      <c r="S271" s="2">
        <v>0</v>
      </c>
      <c r="T271" s="2" t="s">
        <v>43</v>
      </c>
      <c r="U271" s="2" t="s">
        <v>76</v>
      </c>
      <c r="V271" s="2" t="s">
        <v>45</v>
      </c>
      <c r="W271" s="2">
        <v>1</v>
      </c>
      <c r="X271" s="2">
        <v>1</v>
      </c>
      <c r="Y271" s="2">
        <v>0</v>
      </c>
      <c r="Z271" s="2">
        <v>0</v>
      </c>
      <c r="AA271" s="2">
        <v>0</v>
      </c>
      <c r="AB271" s="2"/>
      <c r="AC271" s="2">
        <v>0</v>
      </c>
      <c r="AD271" s="2"/>
      <c r="AE271" s="2" t="s">
        <v>106</v>
      </c>
      <c r="AF271" s="2">
        <v>0</v>
      </c>
      <c r="AG271" s="2">
        <v>0</v>
      </c>
      <c r="AH271" s="2"/>
      <c r="AI271" s="2" t="s">
        <v>43</v>
      </c>
      <c r="AJ271" s="2">
        <v>0</v>
      </c>
      <c r="AK271" s="2">
        <v>0</v>
      </c>
      <c r="AL271" s="2"/>
      <c r="AM271" s="2">
        <v>0</v>
      </c>
      <c r="AN271" s="2">
        <v>0</v>
      </c>
      <c r="AO271" s="2"/>
      <c r="AP271" s="2"/>
      <c r="AQ271" s="2" t="s">
        <v>48</v>
      </c>
      <c r="AR271" s="2" t="s">
        <v>1093</v>
      </c>
      <c r="AS271" s="2" t="s">
        <v>1078</v>
      </c>
      <c r="AT271" s="2" t="s">
        <v>1079</v>
      </c>
      <c r="AU271" s="2" t="s">
        <v>1094</v>
      </c>
      <c r="AV271" s="2" t="s">
        <v>1058</v>
      </c>
      <c r="AW271" s="2">
        <v>4.4026439062999998</v>
      </c>
      <c r="AX271" s="2">
        <v>50.860870841500002</v>
      </c>
    </row>
    <row r="272" spans="2:50" x14ac:dyDescent="0.25">
      <c r="B272" s="2">
        <v>127</v>
      </c>
      <c r="C272" s="2">
        <v>2134329</v>
      </c>
      <c r="D272" s="2" t="s">
        <v>725</v>
      </c>
      <c r="E272" s="2">
        <v>0</v>
      </c>
      <c r="F272" s="2">
        <v>0</v>
      </c>
      <c r="G272" s="2">
        <v>0</v>
      </c>
      <c r="H272" s="2">
        <v>0</v>
      </c>
      <c r="I272" s="2">
        <v>11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f>SUM(parking_data_1030[[#This Row],[Résidenti]:[Autres]])</f>
        <v>11</v>
      </c>
      <c r="R272" s="2">
        <v>0</v>
      </c>
      <c r="S272" s="2">
        <v>0</v>
      </c>
      <c r="T272" s="2" t="s">
        <v>43</v>
      </c>
      <c r="U272" s="2" t="s">
        <v>64</v>
      </c>
      <c r="V272" s="2" t="s">
        <v>45</v>
      </c>
      <c r="W272" s="2">
        <v>1</v>
      </c>
      <c r="X272" s="2">
        <v>1</v>
      </c>
      <c r="Y272" s="2">
        <v>1</v>
      </c>
      <c r="Z272" s="2">
        <v>0</v>
      </c>
      <c r="AA272" s="2">
        <v>1</v>
      </c>
      <c r="AB272" s="2"/>
      <c r="AC272" s="2">
        <v>0</v>
      </c>
      <c r="AD272" s="2"/>
      <c r="AE272" s="2" t="s">
        <v>46</v>
      </c>
      <c r="AF272" s="2">
        <v>0</v>
      </c>
      <c r="AG272" s="2">
        <v>0</v>
      </c>
      <c r="AH272" s="2"/>
      <c r="AI272" s="2" t="s">
        <v>43</v>
      </c>
      <c r="AJ272" s="2">
        <v>0</v>
      </c>
      <c r="AK272" s="2">
        <v>11</v>
      </c>
      <c r="AL272" s="2"/>
      <c r="AM272" s="2">
        <v>0</v>
      </c>
      <c r="AN272" s="2">
        <v>0</v>
      </c>
      <c r="AO272" s="2"/>
      <c r="AP272" s="2"/>
      <c r="AQ272" s="2" t="s">
        <v>48</v>
      </c>
      <c r="AR272" s="2" t="s">
        <v>1109</v>
      </c>
      <c r="AS272" s="2" t="s">
        <v>876</v>
      </c>
      <c r="AT272" s="2" t="s">
        <v>877</v>
      </c>
      <c r="AU272" s="2" t="s">
        <v>1107</v>
      </c>
      <c r="AV272" s="2" t="s">
        <v>1058</v>
      </c>
      <c r="AW272" s="2">
        <v>4.3999172723999997</v>
      </c>
      <c r="AX272" s="2">
        <v>50.855728459399998</v>
      </c>
    </row>
    <row r="273" spans="2:50" x14ac:dyDescent="0.25">
      <c r="B273" s="2">
        <v>128</v>
      </c>
      <c r="C273" s="2">
        <v>2164677</v>
      </c>
      <c r="D273" s="2" t="s">
        <v>256</v>
      </c>
      <c r="E273" s="2">
        <v>0</v>
      </c>
      <c r="F273" s="2">
        <v>0</v>
      </c>
      <c r="G273" s="2">
        <v>0</v>
      </c>
      <c r="H273" s="2">
        <v>0</v>
      </c>
      <c r="I273" s="2">
        <v>16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f>SUM(parking_data_1030[[#This Row],[Résidenti]:[Autres]])</f>
        <v>16</v>
      </c>
      <c r="R273" s="2">
        <v>0</v>
      </c>
      <c r="S273" s="2">
        <v>0</v>
      </c>
      <c r="T273" s="2" t="s">
        <v>79</v>
      </c>
      <c r="U273" s="2" t="s">
        <v>76</v>
      </c>
      <c r="V273" s="2" t="s">
        <v>45</v>
      </c>
      <c r="W273" s="2">
        <v>1</v>
      </c>
      <c r="X273" s="2">
        <v>0</v>
      </c>
      <c r="Y273" s="2">
        <v>1</v>
      </c>
      <c r="Z273" s="2">
        <v>0</v>
      </c>
      <c r="AA273" s="2">
        <v>1</v>
      </c>
      <c r="AB273" s="2"/>
      <c r="AC273" s="2">
        <v>0</v>
      </c>
      <c r="AD273" s="2"/>
      <c r="AE273" s="2" t="s">
        <v>46</v>
      </c>
      <c r="AF273" s="2">
        <v>0</v>
      </c>
      <c r="AG273" s="2">
        <v>0</v>
      </c>
      <c r="AH273" s="2"/>
      <c r="AI273" s="2" t="s">
        <v>43</v>
      </c>
      <c r="AJ273" s="2">
        <v>0</v>
      </c>
      <c r="AK273" s="2">
        <v>16</v>
      </c>
      <c r="AL273" s="2"/>
      <c r="AM273" s="2">
        <v>0</v>
      </c>
      <c r="AN273" s="2">
        <v>0</v>
      </c>
      <c r="AO273" s="2"/>
      <c r="AP273" s="2"/>
      <c r="AQ273" s="2" t="s">
        <v>48</v>
      </c>
      <c r="AR273" s="2" t="s">
        <v>1110</v>
      </c>
      <c r="AS273" s="2" t="s">
        <v>876</v>
      </c>
      <c r="AT273" s="2" t="s">
        <v>877</v>
      </c>
      <c r="AU273" s="2" t="s">
        <v>1111</v>
      </c>
      <c r="AV273" s="2" t="s">
        <v>1058</v>
      </c>
      <c r="AW273" s="2">
        <v>4.4012948502000002</v>
      </c>
      <c r="AX273" s="2">
        <v>50.855942082200002</v>
      </c>
    </row>
    <row r="274" spans="2:50" x14ac:dyDescent="0.25">
      <c r="B274" s="2">
        <v>131</v>
      </c>
      <c r="C274" s="2">
        <v>3004390</v>
      </c>
      <c r="D274" s="2" t="s">
        <v>261</v>
      </c>
      <c r="E274" s="2">
        <v>0</v>
      </c>
      <c r="F274" s="2">
        <v>0</v>
      </c>
      <c r="G274" s="2">
        <v>0</v>
      </c>
      <c r="H274" s="2">
        <v>0</v>
      </c>
      <c r="I274" s="2">
        <v>50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f>SUM(parking_data_1030[[#This Row],[Résidenti]:[Autres]])</f>
        <v>50</v>
      </c>
      <c r="R274" s="2">
        <v>0</v>
      </c>
      <c r="S274" s="2">
        <v>0</v>
      </c>
      <c r="T274" s="2" t="s">
        <v>79</v>
      </c>
      <c r="U274" s="2" t="s">
        <v>64</v>
      </c>
      <c r="V274" s="2" t="s">
        <v>45</v>
      </c>
      <c r="W274" s="2">
        <v>0</v>
      </c>
      <c r="X274" s="2">
        <v>1</v>
      </c>
      <c r="Y274" s="2">
        <v>1</v>
      </c>
      <c r="Z274" s="2">
        <v>0</v>
      </c>
      <c r="AA274" s="2">
        <v>1</v>
      </c>
      <c r="AB274" s="2"/>
      <c r="AC274" s="2">
        <v>0</v>
      </c>
      <c r="AD274" s="2"/>
      <c r="AE274" s="2" t="s">
        <v>46</v>
      </c>
      <c r="AF274" s="2">
        <v>0</v>
      </c>
      <c r="AG274" s="2">
        <v>0</v>
      </c>
      <c r="AH274" s="2"/>
      <c r="AI274" s="2" t="s">
        <v>43</v>
      </c>
      <c r="AJ274" s="2">
        <v>0</v>
      </c>
      <c r="AK274" s="2">
        <v>50</v>
      </c>
      <c r="AL274" s="2"/>
      <c r="AM274" s="2">
        <v>0</v>
      </c>
      <c r="AN274" s="2">
        <v>0</v>
      </c>
      <c r="AO274" s="2"/>
      <c r="AP274" s="2"/>
      <c r="AQ274" s="2" t="s">
        <v>48</v>
      </c>
      <c r="AR274" s="2" t="s">
        <v>998</v>
      </c>
      <c r="AS274" s="2" t="s">
        <v>876</v>
      </c>
      <c r="AT274" s="2" t="s">
        <v>877</v>
      </c>
      <c r="AU274" s="2" t="s">
        <v>878</v>
      </c>
      <c r="AV274" s="2" t="s">
        <v>869</v>
      </c>
      <c r="AW274" s="2">
        <v>4.4002530476999997</v>
      </c>
      <c r="AX274" s="2">
        <v>50.8552180151</v>
      </c>
    </row>
    <row r="275" spans="2:50" x14ac:dyDescent="0.25">
      <c r="B275" s="2">
        <v>132</v>
      </c>
      <c r="C275" s="2">
        <v>2134450</v>
      </c>
      <c r="D275" s="2" t="s">
        <v>788</v>
      </c>
      <c r="E275" s="2">
        <v>0</v>
      </c>
      <c r="F275" s="2">
        <v>0</v>
      </c>
      <c r="G275" s="2">
        <v>0</v>
      </c>
      <c r="H275" s="2">
        <v>0</v>
      </c>
      <c r="I275" s="2">
        <v>154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f>SUM(parking_data_1030[[#This Row],[Résidenti]:[Autres]])</f>
        <v>154</v>
      </c>
      <c r="R275" s="2">
        <v>80</v>
      </c>
      <c r="S275" s="2">
        <v>80</v>
      </c>
      <c r="T275" s="2" t="s">
        <v>43</v>
      </c>
      <c r="U275" s="2" t="s">
        <v>44</v>
      </c>
      <c r="V275" s="2" t="s">
        <v>45</v>
      </c>
      <c r="W275" s="2">
        <v>1</v>
      </c>
      <c r="X275" s="2">
        <v>1</v>
      </c>
      <c r="Y275" s="2">
        <v>0</v>
      </c>
      <c r="Z275" s="2">
        <v>0</v>
      </c>
      <c r="AA275" s="2">
        <v>1</v>
      </c>
      <c r="AB275" s="2" t="s">
        <v>60</v>
      </c>
      <c r="AC275" s="2">
        <v>26</v>
      </c>
      <c r="AD275" s="2"/>
      <c r="AE275" s="2" t="s">
        <v>46</v>
      </c>
      <c r="AF275" s="2">
        <v>0</v>
      </c>
      <c r="AG275" s="2">
        <v>0</v>
      </c>
      <c r="AH275" s="2" t="s">
        <v>789</v>
      </c>
      <c r="AI275" s="2" t="s">
        <v>43</v>
      </c>
      <c r="AJ275" s="2">
        <v>0</v>
      </c>
      <c r="AK275" s="2">
        <v>154</v>
      </c>
      <c r="AL275" s="2"/>
      <c r="AM275" s="2">
        <v>0</v>
      </c>
      <c r="AN275" s="2">
        <v>0</v>
      </c>
      <c r="AO275" s="2"/>
      <c r="AP275" s="2"/>
      <c r="AQ275" s="2" t="s">
        <v>48</v>
      </c>
      <c r="AR275" s="2" t="s">
        <v>1115</v>
      </c>
      <c r="AS275" s="2" t="s">
        <v>876</v>
      </c>
      <c r="AT275" s="2" t="s">
        <v>877</v>
      </c>
      <c r="AU275" s="2" t="s">
        <v>878</v>
      </c>
      <c r="AV275" s="2" t="s">
        <v>869</v>
      </c>
      <c r="AW275" s="2">
        <v>4.4014663512999999</v>
      </c>
      <c r="AX275" s="2">
        <v>50.855313963599997</v>
      </c>
    </row>
    <row r="276" spans="2:50" x14ac:dyDescent="0.25">
      <c r="B276" s="2">
        <v>133</v>
      </c>
      <c r="C276" s="2">
        <v>2134451</v>
      </c>
      <c r="D276" s="2" t="s">
        <v>262</v>
      </c>
      <c r="E276" s="2">
        <v>0</v>
      </c>
      <c r="F276" s="2">
        <v>0</v>
      </c>
      <c r="G276" s="2">
        <v>0</v>
      </c>
      <c r="H276" s="2">
        <v>107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f>SUM(parking_data_1030[[#This Row],[Résidenti]:[Autres]])</f>
        <v>107</v>
      </c>
      <c r="R276" s="2">
        <v>0</v>
      </c>
      <c r="S276" s="2">
        <v>0</v>
      </c>
      <c r="T276" s="2" t="s">
        <v>43</v>
      </c>
      <c r="U276" s="2" t="s">
        <v>44</v>
      </c>
      <c r="V276" s="2" t="s">
        <v>45</v>
      </c>
      <c r="W276" s="2">
        <v>1</v>
      </c>
      <c r="X276" s="2">
        <v>1</v>
      </c>
      <c r="Y276" s="2">
        <v>1</v>
      </c>
      <c r="Z276" s="2">
        <v>0</v>
      </c>
      <c r="AA276" s="2">
        <v>1</v>
      </c>
      <c r="AB276" s="2"/>
      <c r="AC276" s="2">
        <v>0</v>
      </c>
      <c r="AD276" s="3">
        <v>44579</v>
      </c>
      <c r="AE276" s="2" t="s">
        <v>46</v>
      </c>
      <c r="AF276" s="2">
        <v>2399</v>
      </c>
      <c r="AG276" s="2">
        <v>24</v>
      </c>
      <c r="AH276" s="2"/>
      <c r="AI276" s="2" t="s">
        <v>43</v>
      </c>
      <c r="AJ276" s="2">
        <v>-83</v>
      </c>
      <c r="AK276" s="2">
        <v>107</v>
      </c>
      <c r="AL276" s="2"/>
      <c r="AM276" s="2">
        <v>0</v>
      </c>
      <c r="AN276" s="2">
        <v>0</v>
      </c>
      <c r="AO276" s="2"/>
      <c r="AP276" s="2"/>
      <c r="AQ276" s="2" t="s">
        <v>48</v>
      </c>
      <c r="AR276" s="2" t="s">
        <v>875</v>
      </c>
      <c r="AS276" s="2" t="s">
        <v>876</v>
      </c>
      <c r="AT276" s="2" t="s">
        <v>877</v>
      </c>
      <c r="AU276" s="2" t="s">
        <v>878</v>
      </c>
      <c r="AV276" s="2" t="s">
        <v>869</v>
      </c>
      <c r="AW276" s="2">
        <v>4.4018227772999996</v>
      </c>
      <c r="AX276" s="2">
        <v>50.8556567388</v>
      </c>
    </row>
    <row r="277" spans="2:50" x14ac:dyDescent="0.25">
      <c r="B277" s="2">
        <v>134</v>
      </c>
      <c r="C277" s="2">
        <v>2134443</v>
      </c>
      <c r="D277" s="2" t="s">
        <v>263</v>
      </c>
      <c r="E277" s="2">
        <v>0</v>
      </c>
      <c r="F277" s="2">
        <v>0</v>
      </c>
      <c r="G277" s="2">
        <v>0</v>
      </c>
      <c r="H277" s="2">
        <v>0</v>
      </c>
      <c r="I277" s="2">
        <v>36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f>SUM(parking_data_1030[[#This Row],[Résidenti]:[Autres]])</f>
        <v>36</v>
      </c>
      <c r="R277" s="2">
        <v>0</v>
      </c>
      <c r="S277" s="2">
        <v>0</v>
      </c>
      <c r="T277" s="2" t="s">
        <v>43</v>
      </c>
      <c r="U277" s="2" t="s">
        <v>44</v>
      </c>
      <c r="V277" s="2" t="s">
        <v>45</v>
      </c>
      <c r="W277" s="2">
        <v>1</v>
      </c>
      <c r="X277" s="2">
        <v>1</v>
      </c>
      <c r="Y277" s="2">
        <v>1</v>
      </c>
      <c r="Z277" s="2">
        <v>0</v>
      </c>
      <c r="AA277" s="2">
        <v>1</v>
      </c>
      <c r="AB277" s="2"/>
      <c r="AC277" s="2">
        <v>0</v>
      </c>
      <c r="AD277" s="2"/>
      <c r="AE277" s="2" t="s">
        <v>46</v>
      </c>
      <c r="AF277" s="2">
        <v>0</v>
      </c>
      <c r="AG277" s="2">
        <v>0</v>
      </c>
      <c r="AH277" s="2" t="s">
        <v>264</v>
      </c>
      <c r="AI277" s="2" t="s">
        <v>43</v>
      </c>
      <c r="AJ277" s="2">
        <v>0</v>
      </c>
      <c r="AK277" s="2">
        <v>36</v>
      </c>
      <c r="AL277" s="2"/>
      <c r="AM277" s="2">
        <v>0</v>
      </c>
      <c r="AN277" s="2">
        <v>0</v>
      </c>
      <c r="AO277" s="2"/>
      <c r="AP277" s="2"/>
      <c r="AQ277" s="2" t="s">
        <v>48</v>
      </c>
      <c r="AR277" s="2" t="s">
        <v>1119</v>
      </c>
      <c r="AS277" s="2" t="s">
        <v>876</v>
      </c>
      <c r="AT277" s="2" t="s">
        <v>877</v>
      </c>
      <c r="AU277" s="2" t="s">
        <v>878</v>
      </c>
      <c r="AV277" s="2" t="s">
        <v>869</v>
      </c>
      <c r="AW277" s="2">
        <v>4.4026354342999996</v>
      </c>
      <c r="AX277" s="2">
        <v>50.855813849999997</v>
      </c>
    </row>
    <row r="278" spans="2:50" x14ac:dyDescent="0.25">
      <c r="B278" s="2">
        <v>137</v>
      </c>
      <c r="C278" s="2">
        <v>2165008</v>
      </c>
      <c r="D278" s="2" t="s">
        <v>802</v>
      </c>
      <c r="E278" s="2">
        <v>273</v>
      </c>
      <c r="F278" s="2">
        <v>0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f>SUM(parking_data_1030[[#This Row],[Résidenti]:[Autres]])</f>
        <v>273</v>
      </c>
      <c r="R278" s="2">
        <v>34</v>
      </c>
      <c r="S278" s="2">
        <v>34</v>
      </c>
      <c r="T278" s="2" t="s">
        <v>43</v>
      </c>
      <c r="U278" s="2" t="s">
        <v>76</v>
      </c>
      <c r="V278" s="2" t="s">
        <v>45</v>
      </c>
      <c r="W278" s="2">
        <v>1</v>
      </c>
      <c r="X278" s="2">
        <v>1</v>
      </c>
      <c r="Y278" s="2">
        <v>0</v>
      </c>
      <c r="Z278" s="2">
        <v>0</v>
      </c>
      <c r="AA278" s="2">
        <v>1</v>
      </c>
      <c r="AB278" s="2" t="s">
        <v>60</v>
      </c>
      <c r="AC278" s="2">
        <v>100</v>
      </c>
      <c r="AD278" s="3">
        <v>45703</v>
      </c>
      <c r="AE278" s="2" t="s">
        <v>106</v>
      </c>
      <c r="AF278" s="2">
        <v>0</v>
      </c>
      <c r="AG278" s="2">
        <v>0</v>
      </c>
      <c r="AH278" s="2" t="s">
        <v>803</v>
      </c>
      <c r="AI278" s="2" t="s">
        <v>43</v>
      </c>
      <c r="AJ278" s="2">
        <v>0</v>
      </c>
      <c r="AK278" s="2">
        <v>0</v>
      </c>
      <c r="AL278" s="2"/>
      <c r="AM278" s="2">
        <v>0</v>
      </c>
      <c r="AN278" s="2">
        <v>0</v>
      </c>
      <c r="AO278" s="2"/>
      <c r="AP278" s="2"/>
      <c r="AQ278" s="2" t="s">
        <v>48</v>
      </c>
      <c r="AR278" s="2" t="s">
        <v>1124</v>
      </c>
      <c r="AS278" s="2" t="s">
        <v>876</v>
      </c>
      <c r="AT278" s="2" t="s">
        <v>877</v>
      </c>
      <c r="AU278" s="2" t="s">
        <v>1123</v>
      </c>
      <c r="AV278" s="2" t="s">
        <v>869</v>
      </c>
      <c r="AW278" s="2">
        <v>4.4048564835999997</v>
      </c>
      <c r="AX278" s="2">
        <v>50.856409687099998</v>
      </c>
    </row>
    <row r="279" spans="2:50" x14ac:dyDescent="0.25">
      <c r="B279" s="2">
        <v>138</v>
      </c>
      <c r="C279" s="2">
        <v>2134347</v>
      </c>
      <c r="D279" s="2" t="s">
        <v>249</v>
      </c>
      <c r="E279" s="2">
        <v>0</v>
      </c>
      <c r="F279" s="2">
        <v>0</v>
      </c>
      <c r="G279" s="2">
        <v>0</v>
      </c>
      <c r="H279" s="2">
        <v>0</v>
      </c>
      <c r="I279" s="2">
        <v>30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f>SUM(parking_data_1030[[#This Row],[Résidenti]:[Autres]])</f>
        <v>30</v>
      </c>
      <c r="R279" s="2">
        <v>0</v>
      </c>
      <c r="S279" s="2">
        <v>0</v>
      </c>
      <c r="T279" s="2" t="s">
        <v>43</v>
      </c>
      <c r="U279" s="2" t="s">
        <v>64</v>
      </c>
      <c r="V279" s="2" t="s">
        <v>45</v>
      </c>
      <c r="W279" s="2">
        <v>1</v>
      </c>
      <c r="X279" s="2">
        <v>1</v>
      </c>
      <c r="Y279" s="2">
        <v>1</v>
      </c>
      <c r="Z279" s="2">
        <v>0</v>
      </c>
      <c r="AA279" s="2">
        <v>1</v>
      </c>
      <c r="AB279" s="2"/>
      <c r="AC279" s="2">
        <v>0</v>
      </c>
      <c r="AD279" s="2"/>
      <c r="AE279" s="2" t="s">
        <v>106</v>
      </c>
      <c r="AF279" s="2">
        <v>0</v>
      </c>
      <c r="AG279" s="2">
        <v>0</v>
      </c>
      <c r="AH279" s="2" t="s">
        <v>250</v>
      </c>
      <c r="AI279" s="2" t="s">
        <v>43</v>
      </c>
      <c r="AJ279" s="2">
        <v>0</v>
      </c>
      <c r="AK279" s="2">
        <v>30</v>
      </c>
      <c r="AL279" s="2"/>
      <c r="AM279" s="2">
        <v>0</v>
      </c>
      <c r="AN279" s="2">
        <v>0</v>
      </c>
      <c r="AO279" s="2"/>
      <c r="AP279" s="2"/>
      <c r="AQ279" s="2" t="s">
        <v>48</v>
      </c>
      <c r="AR279" s="2" t="s">
        <v>1125</v>
      </c>
      <c r="AS279" s="2" t="s">
        <v>876</v>
      </c>
      <c r="AT279" s="2" t="s">
        <v>877</v>
      </c>
      <c r="AU279" s="2" t="s">
        <v>1126</v>
      </c>
      <c r="AV279" s="2" t="s">
        <v>869</v>
      </c>
      <c r="AW279" s="2">
        <v>4.4071646026</v>
      </c>
      <c r="AX279" s="2">
        <v>50.856789393600003</v>
      </c>
    </row>
    <row r="280" spans="2:50" x14ac:dyDescent="0.25">
      <c r="B280" s="2">
        <v>226</v>
      </c>
      <c r="C280" s="2">
        <v>2157781</v>
      </c>
      <c r="D280" s="2" t="s">
        <v>215</v>
      </c>
      <c r="E280" s="2">
        <v>0</v>
      </c>
      <c r="F280" s="2">
        <v>0</v>
      </c>
      <c r="G280" s="2">
        <v>0</v>
      </c>
      <c r="H280" s="2">
        <v>0</v>
      </c>
      <c r="I280" s="2">
        <v>0</v>
      </c>
      <c r="J280" s="2">
        <v>48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f>SUM(parking_data_1030[[#This Row],[Résidenti]:[Autres]])</f>
        <v>48</v>
      </c>
      <c r="R280" s="2">
        <v>0</v>
      </c>
      <c r="S280" s="2">
        <v>0</v>
      </c>
      <c r="T280" s="2" t="s">
        <v>43</v>
      </c>
      <c r="U280" s="2" t="s">
        <v>44</v>
      </c>
      <c r="V280" s="2" t="s">
        <v>45</v>
      </c>
      <c r="W280" s="2">
        <v>1</v>
      </c>
      <c r="X280" s="2">
        <v>0</v>
      </c>
      <c r="Y280" s="2">
        <v>0</v>
      </c>
      <c r="Z280" s="2">
        <v>0</v>
      </c>
      <c r="AA280" s="2">
        <v>0</v>
      </c>
      <c r="AB280" s="2"/>
      <c r="AC280" s="2">
        <v>0</v>
      </c>
      <c r="AD280" s="2"/>
      <c r="AE280" s="2" t="s">
        <v>46</v>
      </c>
      <c r="AF280" s="2">
        <v>0</v>
      </c>
      <c r="AG280" s="2">
        <v>0</v>
      </c>
      <c r="AH280" s="2" t="s">
        <v>216</v>
      </c>
      <c r="AI280" s="2" t="s">
        <v>43</v>
      </c>
      <c r="AJ280" s="2">
        <v>0</v>
      </c>
      <c r="AK280" s="2">
        <v>48</v>
      </c>
      <c r="AL280" s="2" t="s">
        <v>217</v>
      </c>
      <c r="AM280" s="2">
        <v>0</v>
      </c>
      <c r="AN280" s="2">
        <v>0</v>
      </c>
      <c r="AO280" s="2"/>
      <c r="AP280" s="2"/>
      <c r="AQ280" s="2" t="s">
        <v>48</v>
      </c>
      <c r="AR280" s="2" t="s">
        <v>1255</v>
      </c>
      <c r="AS280" s="2" t="s">
        <v>876</v>
      </c>
      <c r="AT280" s="2" t="s">
        <v>877</v>
      </c>
      <c r="AU280" s="2" t="s">
        <v>1254</v>
      </c>
      <c r="AV280" s="2" t="s">
        <v>1142</v>
      </c>
      <c r="AW280" s="2">
        <v>4.3967484099999998</v>
      </c>
      <c r="AX280" s="2">
        <v>50.854459409599997</v>
      </c>
    </row>
    <row r="281" spans="2:50" x14ac:dyDescent="0.25">
      <c r="B281" s="2">
        <v>227</v>
      </c>
      <c r="C281" s="2">
        <v>10826126</v>
      </c>
      <c r="D281" s="2" t="s">
        <v>218</v>
      </c>
      <c r="E281" s="2">
        <v>34</v>
      </c>
      <c r="F281" s="2">
        <v>0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f>SUM(parking_data_1030[[#This Row],[Résidenti]:[Autres]])</f>
        <v>34</v>
      </c>
      <c r="R281" s="2">
        <v>0</v>
      </c>
      <c r="S281" s="2">
        <v>0</v>
      </c>
      <c r="T281" s="2" t="s">
        <v>43</v>
      </c>
      <c r="U281" s="2" t="s">
        <v>76</v>
      </c>
      <c r="V281" s="2" t="s">
        <v>45</v>
      </c>
      <c r="W281" s="2">
        <v>1</v>
      </c>
      <c r="X281" s="2">
        <v>1</v>
      </c>
      <c r="Y281" s="2">
        <v>0</v>
      </c>
      <c r="Z281" s="2">
        <v>0</v>
      </c>
      <c r="AA281" s="2">
        <v>0</v>
      </c>
      <c r="AB281" s="2"/>
      <c r="AC281" s="2">
        <v>0</v>
      </c>
      <c r="AD281" s="2"/>
      <c r="AE281" s="2" t="s">
        <v>46</v>
      </c>
      <c r="AF281" s="2">
        <v>0</v>
      </c>
      <c r="AG281" s="2">
        <v>0</v>
      </c>
      <c r="AH281" s="2" t="s">
        <v>219</v>
      </c>
      <c r="AI281" s="2" t="s">
        <v>43</v>
      </c>
      <c r="AJ281" s="2">
        <v>0</v>
      </c>
      <c r="AK281" s="2">
        <v>0</v>
      </c>
      <c r="AL281" s="2"/>
      <c r="AM281" s="2">
        <v>0</v>
      </c>
      <c r="AN281" s="2">
        <v>0</v>
      </c>
      <c r="AO281" s="2"/>
      <c r="AP281" s="2"/>
      <c r="AQ281" s="2" t="s">
        <v>48</v>
      </c>
      <c r="AR281" s="2" t="s">
        <v>1256</v>
      </c>
      <c r="AS281" s="2" t="s">
        <v>876</v>
      </c>
      <c r="AT281" s="2" t="s">
        <v>877</v>
      </c>
      <c r="AU281" s="2" t="s">
        <v>1254</v>
      </c>
      <c r="AV281" s="2" t="s">
        <v>1142</v>
      </c>
      <c r="AW281" s="2">
        <v>4.3971422106000002</v>
      </c>
      <c r="AX281" s="2">
        <v>50.854592925699997</v>
      </c>
    </row>
    <row r="282" spans="2:50" x14ac:dyDescent="0.25">
      <c r="B282" s="2">
        <v>228</v>
      </c>
      <c r="C282" s="2">
        <v>2157672</v>
      </c>
      <c r="D282" s="2" t="s">
        <v>794</v>
      </c>
      <c r="E282" s="2">
        <v>45</v>
      </c>
      <c r="F282" s="2">
        <v>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f>SUM(parking_data_1030[[#This Row],[Résidenti]:[Autres]])</f>
        <v>45</v>
      </c>
      <c r="R282" s="2">
        <v>45</v>
      </c>
      <c r="S282" s="2">
        <v>45</v>
      </c>
      <c r="T282" s="2" t="s">
        <v>43</v>
      </c>
      <c r="U282" s="2" t="s">
        <v>44</v>
      </c>
      <c r="V282" s="2" t="s">
        <v>45</v>
      </c>
      <c r="W282" s="2">
        <v>1</v>
      </c>
      <c r="X282" s="2">
        <v>1</v>
      </c>
      <c r="Y282" s="2">
        <v>0</v>
      </c>
      <c r="Z282" s="2">
        <v>0</v>
      </c>
      <c r="AA282" s="2">
        <v>1</v>
      </c>
      <c r="AB282" s="2"/>
      <c r="AC282" s="2">
        <v>102</v>
      </c>
      <c r="AD282" s="2"/>
      <c r="AE282" s="2" t="s">
        <v>46</v>
      </c>
      <c r="AF282" s="2">
        <v>0</v>
      </c>
      <c r="AG282" s="2">
        <v>0</v>
      </c>
      <c r="AH282" s="2" t="s">
        <v>795</v>
      </c>
      <c r="AI282" s="2" t="s">
        <v>43</v>
      </c>
      <c r="AJ282" s="2">
        <v>0</v>
      </c>
      <c r="AK282" s="2">
        <v>0</v>
      </c>
      <c r="AL282" s="2"/>
      <c r="AM282" s="2">
        <v>0</v>
      </c>
      <c r="AN282" s="2">
        <v>0</v>
      </c>
      <c r="AO282" s="2"/>
      <c r="AP282" s="2"/>
      <c r="AQ282" s="2" t="s">
        <v>48</v>
      </c>
      <c r="AR282" s="2" t="s">
        <v>1257</v>
      </c>
      <c r="AS282" s="2" t="s">
        <v>876</v>
      </c>
      <c r="AT282" s="2" t="s">
        <v>877</v>
      </c>
      <c r="AU282" s="2" t="s">
        <v>1258</v>
      </c>
      <c r="AV282" s="2" t="s">
        <v>1142</v>
      </c>
      <c r="AW282" s="2">
        <v>4.3952319584000001</v>
      </c>
      <c r="AX282" s="2">
        <v>50.854037036599998</v>
      </c>
    </row>
    <row r="283" spans="2:50" x14ac:dyDescent="0.25">
      <c r="B283" s="2">
        <v>229</v>
      </c>
      <c r="C283" s="2">
        <v>2157664</v>
      </c>
      <c r="D283" s="2" t="s">
        <v>220</v>
      </c>
      <c r="E283" s="2">
        <v>23</v>
      </c>
      <c r="F283" s="2">
        <v>0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f>SUM(parking_data_1030[[#This Row],[Résidenti]:[Autres]])</f>
        <v>23</v>
      </c>
      <c r="R283" s="2">
        <v>0</v>
      </c>
      <c r="S283" s="2">
        <v>0</v>
      </c>
      <c r="T283" s="2" t="s">
        <v>43</v>
      </c>
      <c r="U283" s="2" t="s">
        <v>44</v>
      </c>
      <c r="V283" s="2" t="s">
        <v>45</v>
      </c>
      <c r="W283" s="2">
        <v>1</v>
      </c>
      <c r="X283" s="2">
        <v>1</v>
      </c>
      <c r="Y283" s="2">
        <v>0</v>
      </c>
      <c r="Z283" s="2">
        <v>0</v>
      </c>
      <c r="AA283" s="2">
        <v>0</v>
      </c>
      <c r="AB283" s="2"/>
      <c r="AC283" s="2">
        <v>0</v>
      </c>
      <c r="AD283" s="2"/>
      <c r="AE283" s="2" t="s">
        <v>46</v>
      </c>
      <c r="AF283" s="2">
        <v>0</v>
      </c>
      <c r="AG283" s="2">
        <v>0</v>
      </c>
      <c r="AH283" s="2" t="s">
        <v>221</v>
      </c>
      <c r="AI283" s="2" t="s">
        <v>43</v>
      </c>
      <c r="AJ283" s="2">
        <v>0</v>
      </c>
      <c r="AK283" s="2">
        <v>0</v>
      </c>
      <c r="AL283" s="2"/>
      <c r="AM283" s="2">
        <v>0</v>
      </c>
      <c r="AN283" s="2">
        <v>0</v>
      </c>
      <c r="AO283" s="2"/>
      <c r="AP283" s="2"/>
      <c r="AQ283" s="2" t="s">
        <v>48</v>
      </c>
      <c r="AR283" s="2" t="s">
        <v>1259</v>
      </c>
      <c r="AS283" s="2" t="s">
        <v>876</v>
      </c>
      <c r="AT283" s="2" t="s">
        <v>877</v>
      </c>
      <c r="AU283" s="2" t="s">
        <v>1258</v>
      </c>
      <c r="AV283" s="2" t="s">
        <v>1142</v>
      </c>
      <c r="AW283" s="2">
        <v>4.3948299163</v>
      </c>
      <c r="AX283" s="2">
        <v>50.853981082099999</v>
      </c>
    </row>
    <row r="284" spans="2:50" x14ac:dyDescent="0.25">
      <c r="B284" s="2">
        <v>231</v>
      </c>
      <c r="C284" s="2">
        <v>2157761</v>
      </c>
      <c r="D284" s="2" t="s">
        <v>806</v>
      </c>
      <c r="E284" s="2">
        <v>0</v>
      </c>
      <c r="F284" s="2">
        <v>0</v>
      </c>
      <c r="G284" s="2">
        <v>0</v>
      </c>
      <c r="H284" s="2">
        <v>0</v>
      </c>
      <c r="I284" s="2">
        <v>153</v>
      </c>
      <c r="J284" s="2">
        <v>0</v>
      </c>
      <c r="K284" s="2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f>SUM(parking_data_1030[[#This Row],[Résidenti]:[Autres]])</f>
        <v>153</v>
      </c>
      <c r="R284" s="2">
        <v>30</v>
      </c>
      <c r="S284" s="2">
        <v>30</v>
      </c>
      <c r="T284" s="2" t="s">
        <v>43</v>
      </c>
      <c r="U284" s="2" t="s">
        <v>64</v>
      </c>
      <c r="V284" s="2" t="s">
        <v>45</v>
      </c>
      <c r="W284" s="2">
        <v>1</v>
      </c>
      <c r="X284" s="2">
        <v>1</v>
      </c>
      <c r="Y284" s="2">
        <v>1</v>
      </c>
      <c r="Z284" s="2">
        <v>0</v>
      </c>
      <c r="AA284" s="2">
        <v>1</v>
      </c>
      <c r="AB284" s="2"/>
      <c r="AC284" s="2">
        <v>100</v>
      </c>
      <c r="AD284" s="2"/>
      <c r="AE284" s="2" t="s">
        <v>46</v>
      </c>
      <c r="AF284" s="2">
        <v>0</v>
      </c>
      <c r="AG284" s="2">
        <v>0</v>
      </c>
      <c r="AH284" s="2" t="s">
        <v>807</v>
      </c>
      <c r="AI284" s="2" t="s">
        <v>43</v>
      </c>
      <c r="AJ284" s="2">
        <v>0</v>
      </c>
      <c r="AK284" s="2">
        <v>153</v>
      </c>
      <c r="AL284" s="2"/>
      <c r="AM284" s="2">
        <v>0</v>
      </c>
      <c r="AN284" s="2">
        <v>0</v>
      </c>
      <c r="AO284" s="2"/>
      <c r="AP284" s="2"/>
      <c r="AQ284" s="2" t="s">
        <v>48</v>
      </c>
      <c r="AR284" s="2" t="s">
        <v>1263</v>
      </c>
      <c r="AS284" s="2" t="s">
        <v>876</v>
      </c>
      <c r="AT284" s="2" t="s">
        <v>877</v>
      </c>
      <c r="AU284" s="2" t="s">
        <v>1258</v>
      </c>
      <c r="AV284" s="2" t="s">
        <v>1142</v>
      </c>
      <c r="AW284" s="2">
        <v>4.3933514377999998</v>
      </c>
      <c r="AX284" s="2">
        <v>50.853593629499997</v>
      </c>
    </row>
    <row r="285" spans="2:50" x14ac:dyDescent="0.25">
      <c r="B285" s="2">
        <v>243</v>
      </c>
      <c r="C285" s="2">
        <v>2154814</v>
      </c>
      <c r="D285" s="2" t="s">
        <v>189</v>
      </c>
      <c r="E285" s="2">
        <v>16</v>
      </c>
      <c r="F285" s="2">
        <v>0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f>SUM(parking_data_1030[[#This Row],[Résidenti]:[Autres]])</f>
        <v>16</v>
      </c>
      <c r="R285" s="2">
        <v>0</v>
      </c>
      <c r="S285" s="2">
        <v>0</v>
      </c>
      <c r="T285" s="2" t="s">
        <v>43</v>
      </c>
      <c r="U285" s="2" t="s">
        <v>44</v>
      </c>
      <c r="V285" s="2" t="s">
        <v>45</v>
      </c>
      <c r="W285" s="2">
        <v>1</v>
      </c>
      <c r="X285" s="2">
        <v>1</v>
      </c>
      <c r="Y285" s="2">
        <v>0</v>
      </c>
      <c r="Z285" s="2">
        <v>0</v>
      </c>
      <c r="AA285" s="2">
        <v>0</v>
      </c>
      <c r="AB285" s="2"/>
      <c r="AC285" s="2">
        <v>0</v>
      </c>
      <c r="AD285" s="2"/>
      <c r="AE285" s="2" t="s">
        <v>46</v>
      </c>
      <c r="AF285" s="2">
        <v>0</v>
      </c>
      <c r="AG285" s="2">
        <v>0</v>
      </c>
      <c r="AH285" s="2"/>
      <c r="AI285" s="2" t="s">
        <v>43</v>
      </c>
      <c r="AJ285" s="2">
        <v>0</v>
      </c>
      <c r="AK285" s="2">
        <v>0</v>
      </c>
      <c r="AL285" s="2"/>
      <c r="AM285" s="2">
        <v>0</v>
      </c>
      <c r="AN285" s="2">
        <v>0</v>
      </c>
      <c r="AO285" s="2"/>
      <c r="AP285" s="2"/>
      <c r="AQ285" s="2" t="s">
        <v>48</v>
      </c>
      <c r="AR285" s="2" t="s">
        <v>1281</v>
      </c>
      <c r="AS285" s="2" t="s">
        <v>876</v>
      </c>
      <c r="AT285" s="2" t="s">
        <v>877</v>
      </c>
      <c r="AU285" s="2" t="s">
        <v>1282</v>
      </c>
      <c r="AV285" s="2" t="s">
        <v>1142</v>
      </c>
      <c r="AW285" s="2">
        <v>4.3910508528000003</v>
      </c>
      <c r="AX285" s="2">
        <v>50.853042595799998</v>
      </c>
    </row>
    <row r="286" spans="2:50" x14ac:dyDescent="0.25">
      <c r="B286" s="2">
        <v>244</v>
      </c>
      <c r="C286" s="2">
        <v>2154749</v>
      </c>
      <c r="D286" s="2" t="s">
        <v>190</v>
      </c>
      <c r="E286" s="2">
        <v>0</v>
      </c>
      <c r="F286" s="2">
        <v>0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f>SUM(parking_data_1030[[#This Row],[Résidenti]:[Autres]])</f>
        <v>0</v>
      </c>
      <c r="R286" s="2">
        <v>0</v>
      </c>
      <c r="S286" s="2">
        <v>0</v>
      </c>
      <c r="T286" s="2" t="s">
        <v>43</v>
      </c>
      <c r="U286" s="2" t="s">
        <v>44</v>
      </c>
      <c r="V286" s="2" t="s">
        <v>45</v>
      </c>
      <c r="W286" s="2">
        <v>0</v>
      </c>
      <c r="X286" s="2">
        <v>0</v>
      </c>
      <c r="Y286" s="2">
        <v>0</v>
      </c>
      <c r="Z286" s="2">
        <v>1</v>
      </c>
      <c r="AA286" s="2">
        <v>0</v>
      </c>
      <c r="AB286" s="2" t="s">
        <v>191</v>
      </c>
      <c r="AC286" s="2">
        <v>0</v>
      </c>
      <c r="AD286" s="2"/>
      <c r="AE286" s="2" t="s">
        <v>46</v>
      </c>
      <c r="AF286" s="2">
        <v>0</v>
      </c>
      <c r="AG286" s="2">
        <v>0</v>
      </c>
      <c r="AH286" s="2" t="s">
        <v>192</v>
      </c>
      <c r="AI286" s="2" t="s">
        <v>79</v>
      </c>
      <c r="AJ286" s="2">
        <v>0</v>
      </c>
      <c r="AK286" s="2">
        <v>0</v>
      </c>
      <c r="AL286" s="2" t="s">
        <v>193</v>
      </c>
      <c r="AM286" s="2">
        <v>0</v>
      </c>
      <c r="AN286" s="2">
        <v>0</v>
      </c>
      <c r="AO286" s="2"/>
      <c r="AP286" s="2"/>
      <c r="AQ286" s="2" t="s">
        <v>48</v>
      </c>
      <c r="AR286" s="2" t="s">
        <v>1283</v>
      </c>
      <c r="AS286" s="2" t="s">
        <v>876</v>
      </c>
      <c r="AT286" s="2" t="s">
        <v>877</v>
      </c>
      <c r="AU286" s="2" t="s">
        <v>1284</v>
      </c>
      <c r="AV286" s="2" t="s">
        <v>1142</v>
      </c>
      <c r="AW286" s="2">
        <v>4.3897390743000004</v>
      </c>
      <c r="AX286" s="2">
        <v>50.852712815099999</v>
      </c>
    </row>
    <row r="287" spans="2:50" x14ac:dyDescent="0.25">
      <c r="B287" s="2">
        <v>260</v>
      </c>
      <c r="C287" s="2">
        <v>2154242</v>
      </c>
      <c r="D287" s="2" t="s">
        <v>472</v>
      </c>
      <c r="E287" s="2">
        <v>0</v>
      </c>
      <c r="F287" s="2">
        <v>0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36</v>
      </c>
      <c r="N287" s="2">
        <v>0</v>
      </c>
      <c r="O287" s="2">
        <v>0</v>
      </c>
      <c r="P287" s="2">
        <v>0</v>
      </c>
      <c r="Q287" s="2">
        <f>SUM(parking_data_1030[[#This Row],[Résidenti]:[Autres]])</f>
        <v>36</v>
      </c>
      <c r="R287" s="2">
        <v>0</v>
      </c>
      <c r="S287" s="2">
        <v>0</v>
      </c>
      <c r="T287" s="2" t="s">
        <v>43</v>
      </c>
      <c r="U287" s="2" t="s">
        <v>95</v>
      </c>
      <c r="V287" s="2" t="s">
        <v>59</v>
      </c>
      <c r="W287" s="2">
        <v>1</v>
      </c>
      <c r="X287" s="2">
        <v>1</v>
      </c>
      <c r="Y287" s="2">
        <v>0</v>
      </c>
      <c r="Z287" s="2">
        <v>0</v>
      </c>
      <c r="AA287" s="2">
        <v>0</v>
      </c>
      <c r="AB287" s="2"/>
      <c r="AC287" s="2">
        <v>0</v>
      </c>
      <c r="AD287" s="3">
        <v>44687</v>
      </c>
      <c r="AE287" s="2" t="s">
        <v>106</v>
      </c>
      <c r="AF287" s="2">
        <v>0</v>
      </c>
      <c r="AG287" s="2">
        <v>0</v>
      </c>
      <c r="AH287" s="2" t="s">
        <v>473</v>
      </c>
      <c r="AI287" s="2" t="s">
        <v>43</v>
      </c>
      <c r="AJ287" s="2">
        <v>0</v>
      </c>
      <c r="AK287" s="2">
        <v>36</v>
      </c>
      <c r="AL287" s="2"/>
      <c r="AM287" s="2">
        <v>0</v>
      </c>
      <c r="AN287" s="2">
        <v>0</v>
      </c>
      <c r="AO287" s="2"/>
      <c r="AP287" s="2"/>
      <c r="AQ287" s="2" t="s">
        <v>48</v>
      </c>
      <c r="AR287" s="2" t="s">
        <v>1300</v>
      </c>
      <c r="AS287" s="2" t="s">
        <v>876</v>
      </c>
      <c r="AT287" s="2" t="s">
        <v>877</v>
      </c>
      <c r="AU287" s="2" t="s">
        <v>1301</v>
      </c>
      <c r="AV287" s="2" t="s">
        <v>1142</v>
      </c>
      <c r="AW287" s="2">
        <v>4.3865397339000003</v>
      </c>
      <c r="AX287" s="2">
        <v>50.851854595699997</v>
      </c>
    </row>
    <row r="288" spans="2:50" x14ac:dyDescent="0.25">
      <c r="B288" s="2">
        <v>261</v>
      </c>
      <c r="C288" s="2">
        <v>3000652</v>
      </c>
      <c r="D288" s="2" t="s">
        <v>474</v>
      </c>
      <c r="E288" s="2">
        <v>0</v>
      </c>
      <c r="F288" s="2">
        <v>0</v>
      </c>
      <c r="G288" s="2">
        <v>0</v>
      </c>
      <c r="H288" s="2">
        <v>23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f>SUM(parking_data_1030[[#This Row],[Résidenti]:[Autres]])</f>
        <v>23</v>
      </c>
      <c r="R288" s="2">
        <v>0</v>
      </c>
      <c r="S288" s="2">
        <v>0</v>
      </c>
      <c r="T288" s="2" t="s">
        <v>79</v>
      </c>
      <c r="U288" s="2" t="s">
        <v>64</v>
      </c>
      <c r="V288" s="2" t="s">
        <v>45</v>
      </c>
      <c r="W288" s="2">
        <v>0</v>
      </c>
      <c r="X288" s="2">
        <v>1</v>
      </c>
      <c r="Y288" s="2">
        <v>1</v>
      </c>
      <c r="Z288" s="2">
        <v>0</v>
      </c>
      <c r="AA288" s="2">
        <v>1</v>
      </c>
      <c r="AB288" s="2"/>
      <c r="AC288" s="2">
        <v>0</v>
      </c>
      <c r="AD288" s="2"/>
      <c r="AE288" s="2" t="s">
        <v>46</v>
      </c>
      <c r="AF288" s="2">
        <v>1800</v>
      </c>
      <c r="AG288" s="2">
        <v>18</v>
      </c>
      <c r="AH288" s="2" t="s">
        <v>475</v>
      </c>
      <c r="AI288" s="2" t="s">
        <v>43</v>
      </c>
      <c r="AJ288" s="2">
        <v>-5</v>
      </c>
      <c r="AK288" s="2">
        <v>23</v>
      </c>
      <c r="AL288" s="2"/>
      <c r="AM288" s="2">
        <v>0</v>
      </c>
      <c r="AN288" s="2">
        <v>0</v>
      </c>
      <c r="AO288" s="2"/>
      <c r="AP288" s="2"/>
      <c r="AQ288" s="2" t="s">
        <v>48</v>
      </c>
      <c r="AR288" s="2" t="s">
        <v>1232</v>
      </c>
      <c r="AS288" s="2" t="s">
        <v>876</v>
      </c>
      <c r="AT288" s="2" t="s">
        <v>877</v>
      </c>
      <c r="AU288" s="2" t="s">
        <v>1148</v>
      </c>
      <c r="AV288" s="2" t="s">
        <v>1137</v>
      </c>
      <c r="AW288" s="2">
        <v>4.3963226622000002</v>
      </c>
      <c r="AX288" s="2">
        <v>50.854641774900003</v>
      </c>
    </row>
    <row r="289" spans="2:50" x14ac:dyDescent="0.25">
      <c r="B289" s="2">
        <v>262</v>
      </c>
      <c r="C289" s="2">
        <v>2157607</v>
      </c>
      <c r="D289" s="2" t="s">
        <v>476</v>
      </c>
      <c r="E289" s="2">
        <v>0</v>
      </c>
      <c r="F289" s="2">
        <v>0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f>SUM(parking_data_1030[[#This Row],[Résidenti]:[Autres]])</f>
        <v>0</v>
      </c>
      <c r="R289" s="2">
        <v>0</v>
      </c>
      <c r="S289" s="2">
        <v>0</v>
      </c>
      <c r="T289" s="2" t="s">
        <v>43</v>
      </c>
      <c r="U289" s="2" t="s">
        <v>44</v>
      </c>
      <c r="V289" s="2" t="s">
        <v>45</v>
      </c>
      <c r="W289" s="2">
        <v>1</v>
      </c>
      <c r="X289" s="2">
        <v>1</v>
      </c>
      <c r="Y289" s="2">
        <v>0</v>
      </c>
      <c r="Z289" s="2">
        <v>0</v>
      </c>
      <c r="AA289" s="2">
        <v>0</v>
      </c>
      <c r="AB289" s="2"/>
      <c r="AC289" s="2">
        <v>0</v>
      </c>
      <c r="AD289" s="2"/>
      <c r="AE289" s="2" t="s">
        <v>46</v>
      </c>
      <c r="AF289" s="2">
        <v>0</v>
      </c>
      <c r="AG289" s="2">
        <v>0</v>
      </c>
      <c r="AH289" s="2" t="s">
        <v>477</v>
      </c>
      <c r="AI289" s="2" t="s">
        <v>79</v>
      </c>
      <c r="AJ289" s="2">
        <v>0</v>
      </c>
      <c r="AK289" s="2">
        <v>0</v>
      </c>
      <c r="AL289" s="2" t="s">
        <v>217</v>
      </c>
      <c r="AM289" s="2">
        <v>0</v>
      </c>
      <c r="AN289" s="2">
        <v>0</v>
      </c>
      <c r="AO289" s="2"/>
      <c r="AP289" s="2"/>
      <c r="AQ289" s="2" t="s">
        <v>48</v>
      </c>
      <c r="AR289" s="2" t="s">
        <v>1303</v>
      </c>
      <c r="AS289" s="2" t="s">
        <v>876</v>
      </c>
      <c r="AT289" s="2" t="s">
        <v>877</v>
      </c>
      <c r="AU289" s="2" t="s">
        <v>1148</v>
      </c>
      <c r="AV289" s="2" t="s">
        <v>1137</v>
      </c>
      <c r="AW289" s="2">
        <v>4.3956933914</v>
      </c>
      <c r="AX289" s="2">
        <v>50.8544632531</v>
      </c>
    </row>
    <row r="290" spans="2:50" x14ac:dyDescent="0.25">
      <c r="B290" s="2">
        <v>263</v>
      </c>
      <c r="C290" s="2">
        <v>2157613</v>
      </c>
      <c r="D290" s="2" t="s">
        <v>825</v>
      </c>
      <c r="E290" s="2">
        <v>0</v>
      </c>
      <c r="F290" s="2">
        <v>0</v>
      </c>
      <c r="G290" s="2">
        <v>0</v>
      </c>
      <c r="H290" s="2">
        <v>39</v>
      </c>
      <c r="I290" s="2">
        <v>42</v>
      </c>
      <c r="J290" s="2">
        <v>0</v>
      </c>
      <c r="K290" s="2">
        <v>0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f>SUM(parking_data_1030[[#This Row],[Résidenti]:[Autres]])</f>
        <v>81</v>
      </c>
      <c r="R290" s="2">
        <v>12</v>
      </c>
      <c r="S290" s="2">
        <v>12</v>
      </c>
      <c r="T290" s="2" t="s">
        <v>43</v>
      </c>
      <c r="U290" s="2" t="s">
        <v>307</v>
      </c>
      <c r="V290" s="2" t="s">
        <v>45</v>
      </c>
      <c r="W290" s="2">
        <v>1</v>
      </c>
      <c r="X290" s="2">
        <v>1</v>
      </c>
      <c r="Y290" s="2">
        <v>1</v>
      </c>
      <c r="Z290" s="2">
        <v>0</v>
      </c>
      <c r="AA290" s="2">
        <v>1</v>
      </c>
      <c r="AB290" s="2"/>
      <c r="AC290" s="2">
        <v>0</v>
      </c>
      <c r="AD290" s="3">
        <v>45685</v>
      </c>
      <c r="AE290" s="2" t="s">
        <v>46</v>
      </c>
      <c r="AF290" s="2">
        <v>2680</v>
      </c>
      <c r="AG290" s="2">
        <v>27</v>
      </c>
      <c r="AH290" s="2"/>
      <c r="AI290" s="2" t="s">
        <v>43</v>
      </c>
      <c r="AJ290" s="2">
        <v>-12</v>
      </c>
      <c r="AK290" s="2">
        <v>81</v>
      </c>
      <c r="AL290" s="2"/>
      <c r="AM290" s="2">
        <v>0</v>
      </c>
      <c r="AN290" s="2">
        <v>0</v>
      </c>
      <c r="AO290" s="2"/>
      <c r="AP290" s="2"/>
      <c r="AQ290" s="2" t="s">
        <v>48</v>
      </c>
      <c r="AR290" s="2" t="s">
        <v>1147</v>
      </c>
      <c r="AS290" s="2" t="s">
        <v>876</v>
      </c>
      <c r="AT290" s="2" t="s">
        <v>877</v>
      </c>
      <c r="AU290" s="2" t="s">
        <v>1148</v>
      </c>
      <c r="AV290" s="2" t="s">
        <v>1137</v>
      </c>
      <c r="AW290" s="2">
        <v>4.3953536386999996</v>
      </c>
      <c r="AX290" s="2">
        <v>50.854403322099998</v>
      </c>
    </row>
    <row r="291" spans="2:50" x14ac:dyDescent="0.25">
      <c r="B291" s="2">
        <v>266</v>
      </c>
      <c r="C291" s="2">
        <v>2157621</v>
      </c>
      <c r="D291" s="2" t="s">
        <v>460</v>
      </c>
      <c r="E291" s="2">
        <v>38</v>
      </c>
      <c r="F291" s="2">
        <v>0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f>SUM(parking_data_1030[[#This Row],[Résidenti]:[Autres]])</f>
        <v>38</v>
      </c>
      <c r="R291" s="2">
        <v>0</v>
      </c>
      <c r="S291" s="2">
        <v>0</v>
      </c>
      <c r="T291" s="2" t="s">
        <v>43</v>
      </c>
      <c r="U291" s="2" t="s">
        <v>54</v>
      </c>
      <c r="V291" s="2" t="s">
        <v>45</v>
      </c>
      <c r="W291" s="2">
        <v>1</v>
      </c>
      <c r="X291" s="2">
        <v>1</v>
      </c>
      <c r="Y291" s="2">
        <v>0</v>
      </c>
      <c r="Z291" s="2">
        <v>0</v>
      </c>
      <c r="AA291" s="2">
        <v>0</v>
      </c>
      <c r="AB291" s="2"/>
      <c r="AC291" s="2">
        <v>0</v>
      </c>
      <c r="AD291" s="2"/>
      <c r="AE291" s="2" t="s">
        <v>46</v>
      </c>
      <c r="AF291" s="2">
        <v>0</v>
      </c>
      <c r="AG291" s="2">
        <v>0</v>
      </c>
      <c r="AH291" s="2"/>
      <c r="AI291" s="2" t="s">
        <v>43</v>
      </c>
      <c r="AJ291" s="2">
        <v>0</v>
      </c>
      <c r="AK291" s="2">
        <v>0</v>
      </c>
      <c r="AL291" s="2"/>
      <c r="AM291" s="2">
        <v>0</v>
      </c>
      <c r="AN291" s="2">
        <v>0</v>
      </c>
      <c r="AO291" s="2"/>
      <c r="AP291" s="2"/>
      <c r="AQ291" s="2" t="s">
        <v>48</v>
      </c>
      <c r="AR291" s="2" t="s">
        <v>1312</v>
      </c>
      <c r="AS291" s="2" t="s">
        <v>876</v>
      </c>
      <c r="AT291" s="2" t="s">
        <v>877</v>
      </c>
      <c r="AU291" s="2" t="s">
        <v>1310</v>
      </c>
      <c r="AV291" s="2" t="s">
        <v>1137</v>
      </c>
      <c r="AW291" s="2">
        <v>4.3934042166999996</v>
      </c>
      <c r="AX291" s="2">
        <v>50.853941494099999</v>
      </c>
    </row>
    <row r="292" spans="2:50" x14ac:dyDescent="0.25">
      <c r="B292" s="2">
        <v>272</v>
      </c>
      <c r="C292" s="2">
        <v>2164468</v>
      </c>
      <c r="D292" s="2" t="s">
        <v>445</v>
      </c>
      <c r="E292" s="2">
        <v>0</v>
      </c>
      <c r="F292" s="2">
        <v>0</v>
      </c>
      <c r="G292" s="2">
        <v>0</v>
      </c>
      <c r="H292" s="2">
        <v>5</v>
      </c>
      <c r="I292" s="2">
        <v>6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f>SUM(parking_data_1030[[#This Row],[Résidenti]:[Autres]])</f>
        <v>11</v>
      </c>
      <c r="R292" s="2">
        <v>0</v>
      </c>
      <c r="S292" s="2">
        <v>0</v>
      </c>
      <c r="T292" s="2" t="s">
        <v>43</v>
      </c>
      <c r="U292" s="2" t="s">
        <v>76</v>
      </c>
      <c r="V292" s="2" t="s">
        <v>45</v>
      </c>
      <c r="W292" s="2">
        <v>0</v>
      </c>
      <c r="X292" s="2">
        <v>0</v>
      </c>
      <c r="Y292" s="2">
        <v>1</v>
      </c>
      <c r="Z292" s="2">
        <v>0</v>
      </c>
      <c r="AA292" s="2">
        <v>1</v>
      </c>
      <c r="AB292" s="2"/>
      <c r="AC292" s="2">
        <v>0</v>
      </c>
      <c r="AD292" s="2"/>
      <c r="AE292" s="2" t="s">
        <v>106</v>
      </c>
      <c r="AF292" s="2">
        <v>0</v>
      </c>
      <c r="AG292" s="2">
        <v>0</v>
      </c>
      <c r="AH292" s="2" t="s">
        <v>280</v>
      </c>
      <c r="AI292" s="2" t="s">
        <v>43</v>
      </c>
      <c r="AJ292" s="2">
        <v>0</v>
      </c>
      <c r="AK292" s="2">
        <v>11</v>
      </c>
      <c r="AL292" s="2"/>
      <c r="AM292" s="2">
        <v>0</v>
      </c>
      <c r="AN292" s="2">
        <v>0</v>
      </c>
      <c r="AO292" s="2"/>
      <c r="AP292" s="2"/>
      <c r="AQ292" s="2" t="s">
        <v>48</v>
      </c>
      <c r="AR292" s="2" t="s">
        <v>1322</v>
      </c>
      <c r="AS292" s="2" t="s">
        <v>876</v>
      </c>
      <c r="AT292" s="2" t="s">
        <v>877</v>
      </c>
      <c r="AU292" s="2" t="s">
        <v>1098</v>
      </c>
      <c r="AV292" s="2" t="s">
        <v>1058</v>
      </c>
      <c r="AW292" s="2">
        <v>4.4063977340999996</v>
      </c>
      <c r="AX292" s="2">
        <v>50.857210722600001</v>
      </c>
    </row>
    <row r="293" spans="2:50" x14ac:dyDescent="0.25">
      <c r="B293" s="2">
        <v>273</v>
      </c>
      <c r="C293" s="2">
        <v>2155564</v>
      </c>
      <c r="D293" s="2" t="s">
        <v>446</v>
      </c>
      <c r="E293" s="2">
        <v>0</v>
      </c>
      <c r="F293" s="2">
        <v>0</v>
      </c>
      <c r="G293" s="2">
        <v>0</v>
      </c>
      <c r="H293" s="2">
        <v>0</v>
      </c>
      <c r="I293" s="2">
        <v>31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f>SUM(parking_data_1030[[#This Row],[Résidenti]:[Autres]])</f>
        <v>31</v>
      </c>
      <c r="R293" s="2">
        <v>0</v>
      </c>
      <c r="S293" s="2">
        <v>0</v>
      </c>
      <c r="T293" s="2" t="s">
        <v>43</v>
      </c>
      <c r="U293" s="2" t="s">
        <v>44</v>
      </c>
      <c r="V293" s="2" t="s">
        <v>45</v>
      </c>
      <c r="W293" s="2">
        <v>1</v>
      </c>
      <c r="X293" s="2">
        <v>0</v>
      </c>
      <c r="Y293" s="2">
        <v>1</v>
      </c>
      <c r="Z293" s="2">
        <v>0</v>
      </c>
      <c r="AA293" s="2">
        <v>1</v>
      </c>
      <c r="AB293" s="2"/>
      <c r="AC293" s="2">
        <v>0</v>
      </c>
      <c r="AD293" s="2"/>
      <c r="AE293" s="2" t="s">
        <v>46</v>
      </c>
      <c r="AF293" s="2">
        <v>0</v>
      </c>
      <c r="AG293" s="2">
        <v>0</v>
      </c>
      <c r="AH293" s="2" t="s">
        <v>447</v>
      </c>
      <c r="AI293" s="2" t="s">
        <v>43</v>
      </c>
      <c r="AJ293" s="2">
        <v>0</v>
      </c>
      <c r="AK293" s="2">
        <v>31</v>
      </c>
      <c r="AL293" s="2" t="s">
        <v>448</v>
      </c>
      <c r="AM293" s="2">
        <v>0</v>
      </c>
      <c r="AN293" s="2">
        <v>0</v>
      </c>
      <c r="AO293" s="2"/>
      <c r="AP293" s="2"/>
      <c r="AQ293" s="2" t="s">
        <v>48</v>
      </c>
      <c r="AR293" s="2" t="s">
        <v>1323</v>
      </c>
      <c r="AS293" s="2" t="s">
        <v>876</v>
      </c>
      <c r="AT293" s="2" t="s">
        <v>877</v>
      </c>
      <c r="AU293" s="2" t="s">
        <v>1324</v>
      </c>
      <c r="AV293" s="2" t="s">
        <v>1137</v>
      </c>
      <c r="AW293" s="2">
        <v>4.3905453081000001</v>
      </c>
      <c r="AX293" s="2">
        <v>50.853230036100001</v>
      </c>
    </row>
    <row r="294" spans="2:50" x14ac:dyDescent="0.25">
      <c r="B294" s="2">
        <v>277</v>
      </c>
      <c r="C294" s="2">
        <v>2154206</v>
      </c>
      <c r="D294" s="2" t="s">
        <v>452</v>
      </c>
      <c r="E294" s="2">
        <v>17</v>
      </c>
      <c r="F294" s="2">
        <v>0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f>SUM(parking_data_1030[[#This Row],[Résidenti]:[Autres]])</f>
        <v>17</v>
      </c>
      <c r="R294" s="2">
        <v>0</v>
      </c>
      <c r="S294" s="2">
        <v>0</v>
      </c>
      <c r="T294" s="2" t="s">
        <v>43</v>
      </c>
      <c r="U294" s="2" t="s">
        <v>54</v>
      </c>
      <c r="V294" s="2" t="s">
        <v>45</v>
      </c>
      <c r="W294" s="2">
        <v>0</v>
      </c>
      <c r="X294" s="2">
        <v>1</v>
      </c>
      <c r="Y294" s="2">
        <v>0</v>
      </c>
      <c r="Z294" s="2">
        <v>1</v>
      </c>
      <c r="AA294" s="2">
        <v>0</v>
      </c>
      <c r="AB294" s="2"/>
      <c r="AC294" s="2">
        <v>0</v>
      </c>
      <c r="AD294" s="2"/>
      <c r="AE294" s="2" t="s">
        <v>46</v>
      </c>
      <c r="AF294" s="2">
        <v>0</v>
      </c>
      <c r="AG294" s="2">
        <v>0</v>
      </c>
      <c r="AH294" s="2" t="s">
        <v>55</v>
      </c>
      <c r="AI294" s="2" t="s">
        <v>43</v>
      </c>
      <c r="AJ294" s="2">
        <v>0</v>
      </c>
      <c r="AK294" s="2">
        <v>0</v>
      </c>
      <c r="AL294" s="2"/>
      <c r="AM294" s="2">
        <v>0</v>
      </c>
      <c r="AN294" s="2">
        <v>0</v>
      </c>
      <c r="AO294" s="2"/>
      <c r="AP294" s="2"/>
      <c r="AQ294" s="2" t="s">
        <v>48</v>
      </c>
      <c r="AR294" s="2" t="s">
        <v>1327</v>
      </c>
      <c r="AS294" s="2" t="s">
        <v>876</v>
      </c>
      <c r="AT294" s="2" t="s">
        <v>877</v>
      </c>
      <c r="AU294" s="2" t="s">
        <v>1328</v>
      </c>
      <c r="AV294" s="2" t="s">
        <v>1137</v>
      </c>
      <c r="AW294" s="2">
        <v>4.3889177488</v>
      </c>
      <c r="AX294" s="2">
        <v>50.852851229499997</v>
      </c>
    </row>
    <row r="295" spans="2:50" x14ac:dyDescent="0.25">
      <c r="B295" s="2">
        <v>288</v>
      </c>
      <c r="C295" s="2">
        <v>2151678</v>
      </c>
      <c r="D295" s="2" t="s">
        <v>508</v>
      </c>
      <c r="E295" s="2">
        <v>0</v>
      </c>
      <c r="F295" s="2">
        <v>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15</v>
      </c>
      <c r="P295" s="2">
        <v>0</v>
      </c>
      <c r="Q295" s="2">
        <f>SUM(parking_data_1030[[#This Row],[Résidenti]:[Autres]])</f>
        <v>15</v>
      </c>
      <c r="R295" s="2">
        <v>15</v>
      </c>
      <c r="S295" s="2">
        <v>0</v>
      </c>
      <c r="T295" s="2" t="s">
        <v>43</v>
      </c>
      <c r="U295" s="2" t="s">
        <v>64</v>
      </c>
      <c r="V295" s="2" t="s">
        <v>45</v>
      </c>
      <c r="W295" s="2">
        <v>1</v>
      </c>
      <c r="X295" s="2">
        <v>0</v>
      </c>
      <c r="Y295" s="2">
        <v>0</v>
      </c>
      <c r="Z295" s="2">
        <v>0</v>
      </c>
      <c r="AA295" s="2">
        <v>0</v>
      </c>
      <c r="AB295" s="2"/>
      <c r="AC295" s="2">
        <v>0</v>
      </c>
      <c r="AD295" s="2"/>
      <c r="AE295" s="2" t="s">
        <v>106</v>
      </c>
      <c r="AF295" s="2">
        <v>0</v>
      </c>
      <c r="AG295" s="2">
        <v>0</v>
      </c>
      <c r="AH295" s="2" t="s">
        <v>509</v>
      </c>
      <c r="AI295" s="2" t="s">
        <v>43</v>
      </c>
      <c r="AJ295" s="2">
        <v>0</v>
      </c>
      <c r="AK295" s="2">
        <v>15</v>
      </c>
      <c r="AL295" s="2"/>
      <c r="AM295" s="2">
        <v>0</v>
      </c>
      <c r="AN295" s="2">
        <v>0</v>
      </c>
      <c r="AO295" s="2"/>
      <c r="AP295" s="2"/>
      <c r="AQ295" s="2" t="s">
        <v>48</v>
      </c>
      <c r="AR295" s="2" t="s">
        <v>1346</v>
      </c>
      <c r="AS295" s="2" t="s">
        <v>876</v>
      </c>
      <c r="AT295" s="2" t="s">
        <v>877</v>
      </c>
      <c r="AU295" s="2" t="s">
        <v>1344</v>
      </c>
      <c r="AV295" s="2" t="s">
        <v>1137</v>
      </c>
      <c r="AW295" s="2">
        <v>4.3866909799</v>
      </c>
      <c r="AX295" s="2">
        <v>50.852255891799999</v>
      </c>
    </row>
    <row r="296" spans="2:50" x14ac:dyDescent="0.25">
      <c r="B296" s="2">
        <v>289</v>
      </c>
      <c r="C296" s="2">
        <v>2151702</v>
      </c>
      <c r="D296" s="2" t="s">
        <v>510</v>
      </c>
      <c r="E296" s="2">
        <v>64</v>
      </c>
      <c r="F296" s="2">
        <v>0</v>
      </c>
      <c r="G296" s="2">
        <v>0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0</v>
      </c>
      <c r="O296" s="2">
        <v>0</v>
      </c>
      <c r="P296" s="2">
        <v>0</v>
      </c>
      <c r="Q296" s="2">
        <f>SUM(parking_data_1030[[#This Row],[Résidenti]:[Autres]])</f>
        <v>64</v>
      </c>
      <c r="R296" s="2">
        <v>0</v>
      </c>
      <c r="S296" s="2">
        <v>0</v>
      </c>
      <c r="T296" s="2" t="s">
        <v>43</v>
      </c>
      <c r="U296" s="2" t="s">
        <v>54</v>
      </c>
      <c r="V296" s="2" t="s">
        <v>45</v>
      </c>
      <c r="W296" s="2">
        <v>1</v>
      </c>
      <c r="X296" s="2">
        <v>1</v>
      </c>
      <c r="Y296" s="2">
        <v>0</v>
      </c>
      <c r="Z296" s="2">
        <v>0</v>
      </c>
      <c r="AA296" s="2">
        <v>0</v>
      </c>
      <c r="AB296" s="2"/>
      <c r="AC296" s="2">
        <v>0</v>
      </c>
      <c r="AD296" s="2"/>
      <c r="AE296" s="2" t="s">
        <v>106</v>
      </c>
      <c r="AF296" s="2">
        <v>0</v>
      </c>
      <c r="AG296" s="2">
        <v>0</v>
      </c>
      <c r="AH296" s="2"/>
      <c r="AI296" s="2" t="s">
        <v>43</v>
      </c>
      <c r="AJ296" s="2">
        <v>0</v>
      </c>
      <c r="AK296" s="2">
        <v>0</v>
      </c>
      <c r="AL296" s="2"/>
      <c r="AM296" s="2">
        <v>0</v>
      </c>
      <c r="AN296" s="2">
        <v>0</v>
      </c>
      <c r="AO296" s="2"/>
      <c r="AP296" s="2"/>
      <c r="AQ296" s="2" t="s">
        <v>48</v>
      </c>
      <c r="AR296" s="2" t="s">
        <v>1347</v>
      </c>
      <c r="AS296" s="2" t="s">
        <v>876</v>
      </c>
      <c r="AT296" s="2" t="s">
        <v>877</v>
      </c>
      <c r="AU296" s="2" t="s">
        <v>1344</v>
      </c>
      <c r="AV296" s="2" t="s">
        <v>1137</v>
      </c>
      <c r="AW296" s="2">
        <v>4.3857306981999997</v>
      </c>
      <c r="AX296" s="2">
        <v>50.852030464199999</v>
      </c>
    </row>
    <row r="297" spans="2:50" x14ac:dyDescent="0.25">
      <c r="B297" s="2">
        <v>42</v>
      </c>
      <c r="C297" s="2">
        <v>2180563</v>
      </c>
      <c r="D297" s="2" t="s">
        <v>121</v>
      </c>
      <c r="E297" s="2">
        <v>0</v>
      </c>
      <c r="F297" s="2">
        <v>0</v>
      </c>
      <c r="G297" s="2">
        <v>0</v>
      </c>
      <c r="H297" s="2">
        <v>0</v>
      </c>
      <c r="I297" s="2">
        <v>15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f>SUM(parking_data_1030[[#This Row],[Résidenti]:[Autres]])</f>
        <v>15</v>
      </c>
      <c r="R297" s="2">
        <v>0</v>
      </c>
      <c r="S297" s="2">
        <v>0</v>
      </c>
      <c r="T297" s="2" t="s">
        <v>43</v>
      </c>
      <c r="U297" s="2" t="s">
        <v>54</v>
      </c>
      <c r="V297" s="2" t="s">
        <v>45</v>
      </c>
      <c r="W297" s="2">
        <v>1</v>
      </c>
      <c r="X297" s="2">
        <v>1</v>
      </c>
      <c r="Y297" s="2">
        <v>0</v>
      </c>
      <c r="Z297" s="2">
        <v>0</v>
      </c>
      <c r="AA297" s="2">
        <v>0</v>
      </c>
      <c r="AB297" s="2"/>
      <c r="AC297" s="2">
        <v>0</v>
      </c>
      <c r="AD297" s="3">
        <v>45942</v>
      </c>
      <c r="AE297" s="2" t="s">
        <v>46</v>
      </c>
      <c r="AF297" s="2">
        <v>0</v>
      </c>
      <c r="AG297" s="2">
        <v>0</v>
      </c>
      <c r="AH297" s="2" t="s">
        <v>122</v>
      </c>
      <c r="AI297" s="2" t="s">
        <v>43</v>
      </c>
      <c r="AJ297" s="2">
        <v>0</v>
      </c>
      <c r="AK297" s="2">
        <v>15</v>
      </c>
      <c r="AL297" s="2"/>
      <c r="AM297" s="2">
        <v>0</v>
      </c>
      <c r="AN297" s="2">
        <v>0</v>
      </c>
      <c r="AO297" s="2"/>
      <c r="AP297" s="2"/>
      <c r="AQ297" s="2" t="s">
        <v>48</v>
      </c>
      <c r="AR297" s="2" t="s">
        <v>943</v>
      </c>
      <c r="AS297" s="2" t="s">
        <v>944</v>
      </c>
      <c r="AT297" s="2" t="s">
        <v>945</v>
      </c>
      <c r="AU297" s="2" t="s">
        <v>946</v>
      </c>
      <c r="AV297" s="2" t="s">
        <v>835</v>
      </c>
      <c r="AW297" s="2">
        <v>4.3930200167000004</v>
      </c>
      <c r="AX297" s="2">
        <v>50.874490149300001</v>
      </c>
    </row>
    <row r="298" spans="2:50" x14ac:dyDescent="0.25">
      <c r="B298" s="2">
        <v>46</v>
      </c>
      <c r="C298" s="2">
        <v>2180365</v>
      </c>
      <c r="D298" s="2" t="s">
        <v>127</v>
      </c>
      <c r="E298" s="2">
        <v>19</v>
      </c>
      <c r="F298" s="2">
        <v>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f>SUM(parking_data_1030[[#This Row],[Résidenti]:[Autres]])</f>
        <v>19</v>
      </c>
      <c r="R298" s="2">
        <v>0</v>
      </c>
      <c r="S298" s="2">
        <v>0</v>
      </c>
      <c r="T298" s="2" t="s">
        <v>43</v>
      </c>
      <c r="U298" s="2" t="s">
        <v>76</v>
      </c>
      <c r="V298" s="2" t="s">
        <v>45</v>
      </c>
      <c r="W298" s="2">
        <v>0</v>
      </c>
      <c r="X298" s="2">
        <v>1</v>
      </c>
      <c r="Y298" s="2">
        <v>0</v>
      </c>
      <c r="Z298" s="2">
        <v>0</v>
      </c>
      <c r="AA298" s="2">
        <v>0</v>
      </c>
      <c r="AB298" s="2" t="s">
        <v>60</v>
      </c>
      <c r="AC298" s="2">
        <v>0</v>
      </c>
      <c r="AD298" s="2"/>
      <c r="AE298" s="2" t="s">
        <v>46</v>
      </c>
      <c r="AF298" s="2">
        <v>0</v>
      </c>
      <c r="AG298" s="2">
        <v>0</v>
      </c>
      <c r="AH298" s="2" t="s">
        <v>128</v>
      </c>
      <c r="AI298" s="2" t="s">
        <v>43</v>
      </c>
      <c r="AJ298" s="2">
        <v>0</v>
      </c>
      <c r="AK298" s="2">
        <v>0</v>
      </c>
      <c r="AL298" s="2"/>
      <c r="AM298" s="2">
        <v>0</v>
      </c>
      <c r="AN298" s="2">
        <v>0</v>
      </c>
      <c r="AO298" s="2"/>
      <c r="AP298" s="2"/>
      <c r="AQ298" s="2" t="s">
        <v>48</v>
      </c>
      <c r="AR298" s="2" t="s">
        <v>954</v>
      </c>
      <c r="AS298" s="2" t="s">
        <v>944</v>
      </c>
      <c r="AT298" s="2" t="s">
        <v>945</v>
      </c>
      <c r="AU298" s="2" t="s">
        <v>955</v>
      </c>
      <c r="AV298" s="2" t="s">
        <v>835</v>
      </c>
      <c r="AW298" s="2">
        <v>4.3934428830999996</v>
      </c>
      <c r="AX298" s="2">
        <v>50.873782139900001</v>
      </c>
    </row>
    <row r="299" spans="2:50" x14ac:dyDescent="0.25">
      <c r="B299" s="2">
        <v>72</v>
      </c>
      <c r="C299" s="2">
        <v>2177501</v>
      </c>
      <c r="D299" s="2" t="s">
        <v>698</v>
      </c>
      <c r="E299" s="2">
        <v>38</v>
      </c>
      <c r="F299" s="2">
        <v>0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f>SUM(parking_data_1030[[#This Row],[Résidenti]:[Autres]])</f>
        <v>38</v>
      </c>
      <c r="R299" s="2">
        <v>0</v>
      </c>
      <c r="S299" s="2">
        <v>0</v>
      </c>
      <c r="T299" s="2" t="s">
        <v>43</v>
      </c>
      <c r="U299" s="2" t="s">
        <v>54</v>
      </c>
      <c r="V299" s="2" t="s">
        <v>45</v>
      </c>
      <c r="W299" s="2">
        <v>1</v>
      </c>
      <c r="X299" s="2">
        <v>1</v>
      </c>
      <c r="Y299" s="2">
        <v>0</v>
      </c>
      <c r="Z299" s="2">
        <v>1</v>
      </c>
      <c r="AA299" s="2">
        <v>0</v>
      </c>
      <c r="AB299" s="2"/>
      <c r="AC299" s="2">
        <v>0</v>
      </c>
      <c r="AD299" s="2"/>
      <c r="AE299" s="2" t="s">
        <v>106</v>
      </c>
      <c r="AF299" s="2">
        <v>0</v>
      </c>
      <c r="AG299" s="2">
        <v>0</v>
      </c>
      <c r="AH299" s="2"/>
      <c r="AI299" s="2" t="s">
        <v>43</v>
      </c>
      <c r="AJ299" s="2">
        <v>0</v>
      </c>
      <c r="AK299" s="2">
        <v>0</v>
      </c>
      <c r="AL299" s="2"/>
      <c r="AM299" s="2">
        <v>0</v>
      </c>
      <c r="AN299" s="2">
        <v>0</v>
      </c>
      <c r="AO299" s="2"/>
      <c r="AP299" s="2"/>
      <c r="AQ299" s="2" t="s">
        <v>48</v>
      </c>
      <c r="AR299" s="2" t="s">
        <v>1012</v>
      </c>
      <c r="AS299" s="2" t="s">
        <v>944</v>
      </c>
      <c r="AT299" s="2" t="s">
        <v>945</v>
      </c>
      <c r="AU299" s="2" t="s">
        <v>1013</v>
      </c>
      <c r="AV299" s="2" t="s">
        <v>1000</v>
      </c>
      <c r="AW299" s="2">
        <v>4.3950378755999999</v>
      </c>
      <c r="AX299" s="2">
        <v>50.869738152300002</v>
      </c>
    </row>
    <row r="300" spans="2:50" x14ac:dyDescent="0.25">
      <c r="B300" s="2">
        <v>165</v>
      </c>
      <c r="C300" s="2">
        <v>1167448</v>
      </c>
      <c r="D300" s="2" t="s">
        <v>311</v>
      </c>
      <c r="E300" s="2">
        <v>12</v>
      </c>
      <c r="F300" s="2">
        <v>0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f>SUM(parking_data_1030[[#This Row],[Résidenti]:[Autres]])</f>
        <v>12</v>
      </c>
      <c r="R300" s="2">
        <v>0</v>
      </c>
      <c r="S300" s="2">
        <v>0</v>
      </c>
      <c r="T300" s="2" t="s">
        <v>43</v>
      </c>
      <c r="U300" s="2" t="s">
        <v>64</v>
      </c>
      <c r="V300" s="2" t="s">
        <v>45</v>
      </c>
      <c r="W300" s="2">
        <v>1</v>
      </c>
      <c r="X300" s="2">
        <v>1</v>
      </c>
      <c r="Y300" s="2">
        <v>0</v>
      </c>
      <c r="Z300" s="2">
        <v>0</v>
      </c>
      <c r="AA300" s="2">
        <v>0</v>
      </c>
      <c r="AB300" s="2"/>
      <c r="AC300" s="2">
        <v>0</v>
      </c>
      <c r="AD300" s="2"/>
      <c r="AE300" s="2" t="s">
        <v>46</v>
      </c>
      <c r="AF300" s="2">
        <v>0</v>
      </c>
      <c r="AG300" s="2">
        <v>0</v>
      </c>
      <c r="AH300" s="2" t="s">
        <v>312</v>
      </c>
      <c r="AI300" s="2" t="s">
        <v>43</v>
      </c>
      <c r="AJ300" s="2">
        <v>0</v>
      </c>
      <c r="AK300" s="2">
        <v>0</v>
      </c>
      <c r="AL300" s="2"/>
      <c r="AM300" s="2">
        <v>0</v>
      </c>
      <c r="AN300" s="2">
        <v>0</v>
      </c>
      <c r="AO300" s="2"/>
      <c r="AP300" s="2"/>
      <c r="AQ300" s="2" t="s">
        <v>48</v>
      </c>
      <c r="AR300" s="2" t="s">
        <v>1175</v>
      </c>
      <c r="AS300" s="2" t="s">
        <v>1176</v>
      </c>
      <c r="AT300" s="2" t="s">
        <v>1177</v>
      </c>
      <c r="AU300" s="2" t="s">
        <v>1089</v>
      </c>
      <c r="AV300" s="2" t="s">
        <v>1090</v>
      </c>
      <c r="AW300" s="2">
        <v>4.3997995964000003</v>
      </c>
      <c r="AX300" s="2">
        <v>50.844528912199998</v>
      </c>
    </row>
    <row r="301" spans="2:50" x14ac:dyDescent="0.25">
      <c r="B301" s="2">
        <v>166</v>
      </c>
      <c r="C301" s="2">
        <v>1167454</v>
      </c>
      <c r="D301" s="2" t="s">
        <v>313</v>
      </c>
      <c r="E301" s="2">
        <v>48</v>
      </c>
      <c r="F301" s="2">
        <v>0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f>SUM(parking_data_1030[[#This Row],[Résidenti]:[Autres]])</f>
        <v>48</v>
      </c>
      <c r="R301" s="2">
        <v>0</v>
      </c>
      <c r="S301" s="2">
        <v>0</v>
      </c>
      <c r="T301" s="2" t="s">
        <v>43</v>
      </c>
      <c r="U301" s="2" t="s">
        <v>54</v>
      </c>
      <c r="V301" s="2" t="s">
        <v>45</v>
      </c>
      <c r="W301" s="2">
        <v>1</v>
      </c>
      <c r="X301" s="2">
        <v>1</v>
      </c>
      <c r="Y301" s="2">
        <v>0</v>
      </c>
      <c r="Z301" s="2">
        <v>0</v>
      </c>
      <c r="AA301" s="2">
        <v>0</v>
      </c>
      <c r="AB301" s="2"/>
      <c r="AC301" s="2">
        <v>0</v>
      </c>
      <c r="AD301" s="2"/>
      <c r="AE301" s="2" t="s">
        <v>106</v>
      </c>
      <c r="AF301" s="2">
        <v>0</v>
      </c>
      <c r="AG301" s="2">
        <v>0</v>
      </c>
      <c r="AH301" s="2" t="s">
        <v>314</v>
      </c>
      <c r="AI301" s="2" t="s">
        <v>43</v>
      </c>
      <c r="AJ301" s="2">
        <v>0</v>
      </c>
      <c r="AK301" s="2">
        <v>0</v>
      </c>
      <c r="AL301" s="2"/>
      <c r="AM301" s="2">
        <v>0</v>
      </c>
      <c r="AN301" s="2">
        <v>0</v>
      </c>
      <c r="AO301" s="2"/>
      <c r="AP301" s="2"/>
      <c r="AQ301" s="2" t="s">
        <v>48</v>
      </c>
      <c r="AR301" s="2" t="s">
        <v>1178</v>
      </c>
      <c r="AS301" s="2" t="s">
        <v>1176</v>
      </c>
      <c r="AT301" s="2" t="s">
        <v>1177</v>
      </c>
      <c r="AU301" s="2" t="s">
        <v>1089</v>
      </c>
      <c r="AV301" s="2" t="s">
        <v>1090</v>
      </c>
      <c r="AW301" s="2">
        <v>4.3990573696000004</v>
      </c>
      <c r="AX301" s="2">
        <v>50.844916679000001</v>
      </c>
    </row>
    <row r="302" spans="2:50" x14ac:dyDescent="0.25">
      <c r="B302" s="2">
        <v>172</v>
      </c>
      <c r="C302" s="2">
        <v>1166907</v>
      </c>
      <c r="D302" s="2" t="s">
        <v>298</v>
      </c>
      <c r="E302" s="2">
        <v>0</v>
      </c>
      <c r="F302" s="2">
        <v>0</v>
      </c>
      <c r="G302" s="2">
        <v>12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f>SUM(parking_data_1030[[#This Row],[Résidenti]:[Autres]])</f>
        <v>12</v>
      </c>
      <c r="R302" s="2">
        <v>0</v>
      </c>
      <c r="S302" s="2">
        <v>0</v>
      </c>
      <c r="T302" s="2" t="s">
        <v>43</v>
      </c>
      <c r="U302" s="2" t="s">
        <v>76</v>
      </c>
      <c r="V302" s="2" t="s">
        <v>45</v>
      </c>
      <c r="W302" s="2">
        <v>1</v>
      </c>
      <c r="X302" s="2">
        <v>1</v>
      </c>
      <c r="Y302" s="2">
        <v>0</v>
      </c>
      <c r="Z302" s="2">
        <v>0</v>
      </c>
      <c r="AA302" s="2">
        <v>0</v>
      </c>
      <c r="AB302" s="2"/>
      <c r="AC302" s="2">
        <v>0</v>
      </c>
      <c r="AD302" s="2"/>
      <c r="AE302" s="2" t="s">
        <v>106</v>
      </c>
      <c r="AF302" s="2">
        <v>0</v>
      </c>
      <c r="AG302" s="2">
        <v>0</v>
      </c>
      <c r="AH302" s="2"/>
      <c r="AI302" s="2" t="s">
        <v>43</v>
      </c>
      <c r="AJ302" s="2">
        <v>0</v>
      </c>
      <c r="AK302" s="2">
        <v>12</v>
      </c>
      <c r="AL302" s="2"/>
      <c r="AM302" s="2">
        <v>0</v>
      </c>
      <c r="AN302" s="2">
        <v>0</v>
      </c>
      <c r="AO302" s="2"/>
      <c r="AP302" s="2"/>
      <c r="AQ302" s="2" t="s">
        <v>48</v>
      </c>
      <c r="AR302" s="2" t="s">
        <v>1004</v>
      </c>
      <c r="AS302" s="2" t="s">
        <v>1176</v>
      </c>
      <c r="AT302" s="2" t="s">
        <v>1177</v>
      </c>
      <c r="AU302" s="2" t="s">
        <v>1182</v>
      </c>
      <c r="AV302" s="2" t="s">
        <v>1090</v>
      </c>
      <c r="AW302" s="2">
        <v>4.3982737933999996</v>
      </c>
      <c r="AX302" s="2">
        <v>50.845510112900001</v>
      </c>
    </row>
    <row r="303" spans="2:50" x14ac:dyDescent="0.25">
      <c r="B303" s="2">
        <v>180</v>
      </c>
      <c r="C303" s="2">
        <v>3000930</v>
      </c>
      <c r="D303" s="2" t="s">
        <v>284</v>
      </c>
      <c r="E303" s="2">
        <v>0</v>
      </c>
      <c r="F303" s="2">
        <v>0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110</v>
      </c>
      <c r="N303" s="2">
        <v>0</v>
      </c>
      <c r="O303" s="2">
        <v>0</v>
      </c>
      <c r="P303" s="2">
        <v>0</v>
      </c>
      <c r="Q303" s="2">
        <f>SUM(parking_data_1030[[#This Row],[Résidenti]:[Autres]])</f>
        <v>110</v>
      </c>
      <c r="R303" s="2">
        <v>0</v>
      </c>
      <c r="S303" s="2">
        <v>0</v>
      </c>
      <c r="T303" s="2" t="s">
        <v>79</v>
      </c>
      <c r="U303" s="2" t="s">
        <v>95</v>
      </c>
      <c r="V303" s="2" t="s">
        <v>45</v>
      </c>
      <c r="W303" s="2">
        <v>1</v>
      </c>
      <c r="X303" s="2">
        <v>1</v>
      </c>
      <c r="Y303" s="2">
        <v>1</v>
      </c>
      <c r="Z303" s="2">
        <v>0</v>
      </c>
      <c r="AA303" s="2">
        <v>1</v>
      </c>
      <c r="AB303" s="2"/>
      <c r="AC303" s="2">
        <v>0</v>
      </c>
      <c r="AD303" s="3">
        <v>45410</v>
      </c>
      <c r="AE303" s="2" t="s">
        <v>106</v>
      </c>
      <c r="AF303" s="2">
        <v>0</v>
      </c>
      <c r="AG303" s="2">
        <v>0</v>
      </c>
      <c r="AH303" s="2" t="s">
        <v>285</v>
      </c>
      <c r="AI303" s="2" t="s">
        <v>43</v>
      </c>
      <c r="AJ303" s="2">
        <v>0</v>
      </c>
      <c r="AK303" s="2">
        <v>110</v>
      </c>
      <c r="AL303" s="2"/>
      <c r="AM303" s="2">
        <v>0</v>
      </c>
      <c r="AN303" s="2">
        <v>0</v>
      </c>
      <c r="AO303" s="2"/>
      <c r="AP303" s="2"/>
      <c r="AQ303" s="2" t="s">
        <v>48</v>
      </c>
      <c r="AR303" s="2" t="s">
        <v>1171</v>
      </c>
      <c r="AS303" s="2" t="s">
        <v>1176</v>
      </c>
      <c r="AT303" s="2" t="s">
        <v>1177</v>
      </c>
      <c r="AU303" s="2" t="s">
        <v>1201</v>
      </c>
      <c r="AV303" s="2" t="s">
        <v>1090</v>
      </c>
      <c r="AW303" s="2">
        <v>4.3971479468999997</v>
      </c>
      <c r="AX303" s="2">
        <v>50.846700606900001</v>
      </c>
    </row>
    <row r="304" spans="2:50" x14ac:dyDescent="0.25">
      <c r="B304" s="2">
        <v>332</v>
      </c>
      <c r="C304" s="2">
        <v>12611</v>
      </c>
      <c r="D304" s="2" t="s">
        <v>351</v>
      </c>
      <c r="E304" s="2">
        <v>17</v>
      </c>
      <c r="F304" s="2">
        <v>0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  <c r="Q304" s="2">
        <f>SUM(parking_data_1030[[#This Row],[Résidenti]:[Autres]])</f>
        <v>17</v>
      </c>
      <c r="R304" s="2">
        <v>0</v>
      </c>
      <c r="S304" s="2">
        <v>0</v>
      </c>
      <c r="T304" s="2" t="s">
        <v>43</v>
      </c>
      <c r="U304" s="2" t="s">
        <v>76</v>
      </c>
      <c r="V304" s="2" t="s">
        <v>45</v>
      </c>
      <c r="W304" s="2">
        <v>1</v>
      </c>
      <c r="X304" s="2">
        <v>1</v>
      </c>
      <c r="Y304" s="2">
        <v>0</v>
      </c>
      <c r="Z304" s="2">
        <v>0</v>
      </c>
      <c r="AA304" s="2">
        <v>0</v>
      </c>
      <c r="AB304" s="2"/>
      <c r="AC304" s="2">
        <v>0</v>
      </c>
      <c r="AD304" s="2"/>
      <c r="AE304" s="2" t="s">
        <v>46</v>
      </c>
      <c r="AF304" s="2">
        <v>0</v>
      </c>
      <c r="AG304" s="2">
        <v>0</v>
      </c>
      <c r="AH304" s="2" t="s">
        <v>321</v>
      </c>
      <c r="AI304" s="2" t="s">
        <v>43</v>
      </c>
      <c r="AJ304" s="2">
        <v>0</v>
      </c>
      <c r="AK304" s="2">
        <v>0</v>
      </c>
      <c r="AL304" s="2"/>
      <c r="AM304" s="2">
        <v>0</v>
      </c>
      <c r="AN304" s="2">
        <v>0</v>
      </c>
      <c r="AO304" s="2"/>
      <c r="AP304" s="2"/>
      <c r="AQ304" s="2" t="s">
        <v>48</v>
      </c>
      <c r="AR304" s="12" t="s">
        <v>1247</v>
      </c>
      <c r="AS304" s="2" t="s">
        <v>1598</v>
      </c>
      <c r="AT304" s="2" t="s">
        <v>1600</v>
      </c>
      <c r="AU304" s="2" t="s">
        <v>1425</v>
      </c>
      <c r="AV304" s="2" t="s">
        <v>1420</v>
      </c>
      <c r="AW304" s="2">
        <v>4.3723170394000004</v>
      </c>
      <c r="AX304" s="2">
        <v>50.858300635200003</v>
      </c>
    </row>
    <row r="305" spans="2:50" x14ac:dyDescent="0.25">
      <c r="B305" s="2">
        <v>393</v>
      </c>
      <c r="C305" s="2">
        <v>2133115</v>
      </c>
      <c r="D305" s="2" t="s">
        <v>620</v>
      </c>
      <c r="E305" s="2">
        <v>173</v>
      </c>
      <c r="F305" s="2">
        <v>0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f>SUM(parking_data_1030[[#This Row],[Résidenti]:[Autres]])</f>
        <v>173</v>
      </c>
      <c r="R305" s="2">
        <v>0</v>
      </c>
      <c r="S305" s="2">
        <v>0</v>
      </c>
      <c r="T305" s="2" t="s">
        <v>43</v>
      </c>
      <c r="U305" s="2" t="s">
        <v>95</v>
      </c>
      <c r="V305" s="2" t="s">
        <v>45</v>
      </c>
      <c r="W305" s="2">
        <v>1</v>
      </c>
      <c r="X305" s="2">
        <v>1</v>
      </c>
      <c r="Y305" s="2">
        <v>0</v>
      </c>
      <c r="Z305" s="2">
        <v>0</v>
      </c>
      <c r="AA305" s="2">
        <v>0</v>
      </c>
      <c r="AB305" s="2"/>
      <c r="AC305" s="2">
        <v>0</v>
      </c>
      <c r="AD305" s="2"/>
      <c r="AE305" s="2" t="s">
        <v>106</v>
      </c>
      <c r="AF305" s="2">
        <v>0</v>
      </c>
      <c r="AG305" s="2">
        <v>0</v>
      </c>
      <c r="AH305" s="2" t="s">
        <v>621</v>
      </c>
      <c r="AI305" s="2" t="s">
        <v>43</v>
      </c>
      <c r="AJ305" s="2">
        <v>0</v>
      </c>
      <c r="AK305" s="2">
        <v>0</v>
      </c>
      <c r="AL305" s="2"/>
      <c r="AM305" s="2">
        <v>0</v>
      </c>
      <c r="AN305" s="2">
        <v>0</v>
      </c>
      <c r="AO305" s="2"/>
      <c r="AP305" s="2"/>
      <c r="AQ305" s="2" t="s">
        <v>48</v>
      </c>
      <c r="AR305" s="2" t="s">
        <v>1511</v>
      </c>
      <c r="AS305" s="2" t="s">
        <v>1512</v>
      </c>
      <c r="AT305" s="2" t="s">
        <v>1513</v>
      </c>
      <c r="AU305" s="2" t="s">
        <v>1514</v>
      </c>
      <c r="AV305" s="2" t="s">
        <v>1063</v>
      </c>
      <c r="AW305" s="2">
        <v>4.3794752070999996</v>
      </c>
      <c r="AX305" s="2">
        <v>50.864578155300002</v>
      </c>
    </row>
    <row r="306" spans="2:50" x14ac:dyDescent="0.25">
      <c r="B306" s="2">
        <v>251</v>
      </c>
      <c r="C306" s="2">
        <v>8778364</v>
      </c>
      <c r="D306" s="2" t="s">
        <v>182</v>
      </c>
      <c r="E306" s="2">
        <v>27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f>SUM(parking_data_1030[[#This Row],[Résidenti]:[Autres]])</f>
        <v>27</v>
      </c>
      <c r="R306" s="2">
        <v>0</v>
      </c>
      <c r="S306" s="2">
        <v>0</v>
      </c>
      <c r="T306" s="2" t="s">
        <v>43</v>
      </c>
      <c r="U306" s="2" t="s">
        <v>76</v>
      </c>
      <c r="V306" s="2" t="s">
        <v>45</v>
      </c>
      <c r="W306" s="2">
        <v>1</v>
      </c>
      <c r="X306" s="2">
        <v>0</v>
      </c>
      <c r="Y306" s="2">
        <v>0</v>
      </c>
      <c r="Z306" s="2">
        <v>0</v>
      </c>
      <c r="AA306" s="2">
        <v>0</v>
      </c>
      <c r="AB306" s="2"/>
      <c r="AC306" s="2">
        <v>0</v>
      </c>
      <c r="AD306" s="2"/>
      <c r="AE306" s="2" t="s">
        <v>106</v>
      </c>
      <c r="AF306" s="2">
        <v>0</v>
      </c>
      <c r="AG306" s="2">
        <v>0</v>
      </c>
      <c r="AH306" s="2"/>
      <c r="AI306" s="2" t="s">
        <v>43</v>
      </c>
      <c r="AJ306" s="2">
        <v>0</v>
      </c>
      <c r="AK306" s="2">
        <v>0</v>
      </c>
      <c r="AL306" s="2"/>
      <c r="AM306" s="2">
        <v>0</v>
      </c>
      <c r="AN306" s="2">
        <v>0</v>
      </c>
      <c r="AO306" s="2"/>
      <c r="AP306" s="2"/>
      <c r="AQ306" s="2" t="s">
        <v>48</v>
      </c>
      <c r="AR306" s="2" t="s">
        <v>1214</v>
      </c>
      <c r="AS306" s="2" t="s">
        <v>1293</v>
      </c>
      <c r="AT306" s="2" t="s">
        <v>1294</v>
      </c>
      <c r="AU306" s="2" t="s">
        <v>1295</v>
      </c>
      <c r="AV306" s="2" t="s">
        <v>1142</v>
      </c>
      <c r="AW306" s="2">
        <v>4.3899148781999999</v>
      </c>
      <c r="AX306" s="2">
        <v>50.851592720500001</v>
      </c>
    </row>
    <row r="307" spans="2:50" x14ac:dyDescent="0.25">
      <c r="B307" s="2">
        <v>264</v>
      </c>
      <c r="C307" s="2">
        <v>2157486</v>
      </c>
      <c r="D307" s="2" t="s">
        <v>456</v>
      </c>
      <c r="E307" s="2">
        <v>67</v>
      </c>
      <c r="F307" s="2">
        <v>0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f>SUM(parking_data_1030[[#This Row],[Résidenti]:[Autres]])</f>
        <v>67</v>
      </c>
      <c r="R307" s="2">
        <v>0</v>
      </c>
      <c r="S307" s="2">
        <v>0</v>
      </c>
      <c r="T307" s="2" t="s">
        <v>43</v>
      </c>
      <c r="U307" s="2" t="s">
        <v>54</v>
      </c>
      <c r="V307" s="2" t="s">
        <v>45</v>
      </c>
      <c r="W307" s="2">
        <v>1</v>
      </c>
      <c r="X307" s="2">
        <v>1</v>
      </c>
      <c r="Y307" s="2">
        <v>0</v>
      </c>
      <c r="Z307" s="2">
        <v>0</v>
      </c>
      <c r="AA307" s="2">
        <v>0</v>
      </c>
      <c r="AB307" s="2"/>
      <c r="AC307" s="2">
        <v>0</v>
      </c>
      <c r="AD307" s="2"/>
      <c r="AE307" s="2" t="s">
        <v>46</v>
      </c>
      <c r="AF307" s="2">
        <v>0</v>
      </c>
      <c r="AG307" s="2">
        <v>0</v>
      </c>
      <c r="AH307" s="2"/>
      <c r="AI307" s="2" t="s">
        <v>43</v>
      </c>
      <c r="AJ307" s="2">
        <v>0</v>
      </c>
      <c r="AK307" s="2">
        <v>0</v>
      </c>
      <c r="AL307" s="2"/>
      <c r="AM307" s="2">
        <v>0</v>
      </c>
      <c r="AN307" s="2">
        <v>0</v>
      </c>
      <c r="AO307" s="2"/>
      <c r="AP307" s="2"/>
      <c r="AQ307" s="2" t="s">
        <v>48</v>
      </c>
      <c r="AR307" s="2" t="s">
        <v>1307</v>
      </c>
      <c r="AS307" s="2" t="s">
        <v>1308</v>
      </c>
      <c r="AT307" s="2" t="s">
        <v>1309</v>
      </c>
      <c r="AU307" s="2" t="s">
        <v>1310</v>
      </c>
      <c r="AV307" s="2" t="s">
        <v>1137</v>
      </c>
      <c r="AW307" s="2">
        <v>4.3933789582999996</v>
      </c>
      <c r="AX307" s="2">
        <v>50.855186400400001</v>
      </c>
    </row>
    <row r="308" spans="2:50" x14ac:dyDescent="0.25">
      <c r="B308" s="2">
        <v>265</v>
      </c>
      <c r="C308" s="2">
        <v>2157482</v>
      </c>
      <c r="D308" s="2" t="s">
        <v>457</v>
      </c>
      <c r="E308" s="2">
        <v>0</v>
      </c>
      <c r="F308" s="2">
        <v>0</v>
      </c>
      <c r="G308" s="2">
        <v>0</v>
      </c>
      <c r="H308" s="2">
        <v>0</v>
      </c>
      <c r="I308" s="2">
        <v>25</v>
      </c>
      <c r="J308" s="2">
        <v>0</v>
      </c>
      <c r="K308" s="2">
        <v>0</v>
      </c>
      <c r="L308" s="2">
        <v>0</v>
      </c>
      <c r="M308" s="2">
        <v>0</v>
      </c>
      <c r="N308" s="2">
        <v>0</v>
      </c>
      <c r="O308" s="2">
        <v>0</v>
      </c>
      <c r="P308" s="2">
        <v>0</v>
      </c>
      <c r="Q308" s="2">
        <f>SUM(parking_data_1030[[#This Row],[Résidenti]:[Autres]])</f>
        <v>25</v>
      </c>
      <c r="R308" s="2">
        <v>0</v>
      </c>
      <c r="S308" s="2">
        <v>0</v>
      </c>
      <c r="T308" s="2" t="s">
        <v>43</v>
      </c>
      <c r="U308" s="2" t="s">
        <v>64</v>
      </c>
      <c r="V308" s="2" t="s">
        <v>45</v>
      </c>
      <c r="W308" s="2">
        <v>0</v>
      </c>
      <c r="X308" s="2">
        <v>0</v>
      </c>
      <c r="Y308" s="2">
        <v>1</v>
      </c>
      <c r="Z308" s="2">
        <v>0</v>
      </c>
      <c r="AA308" s="2">
        <v>0</v>
      </c>
      <c r="AB308" s="2"/>
      <c r="AC308" s="2">
        <v>0</v>
      </c>
      <c r="AD308" s="2"/>
      <c r="AE308" s="2" t="s">
        <v>46</v>
      </c>
      <c r="AF308" s="2">
        <v>0</v>
      </c>
      <c r="AG308" s="2">
        <v>0</v>
      </c>
      <c r="AH308" s="2" t="s">
        <v>458</v>
      </c>
      <c r="AI308" s="2" t="s">
        <v>43</v>
      </c>
      <c r="AJ308" s="2">
        <v>0</v>
      </c>
      <c r="AK308" s="2">
        <v>25</v>
      </c>
      <c r="AL308" s="2"/>
      <c r="AM308" s="2">
        <v>9</v>
      </c>
      <c r="AN308" s="2">
        <v>0</v>
      </c>
      <c r="AO308" s="2" t="s">
        <v>459</v>
      </c>
      <c r="AP308" s="2"/>
      <c r="AQ308" s="2" t="s">
        <v>70</v>
      </c>
      <c r="AR308" s="2" t="s">
        <v>1311</v>
      </c>
      <c r="AS308" s="2" t="s">
        <v>1308</v>
      </c>
      <c r="AT308" s="2" t="s">
        <v>1309</v>
      </c>
      <c r="AU308" s="2" t="s">
        <v>1310</v>
      </c>
      <c r="AV308" s="2" t="s">
        <v>1137</v>
      </c>
      <c r="AW308" s="2">
        <v>4.3935251764999999</v>
      </c>
      <c r="AX308" s="2">
        <v>50.855293887400002</v>
      </c>
    </row>
    <row r="309" spans="2:50" x14ac:dyDescent="0.25">
      <c r="B309" s="2">
        <v>268</v>
      </c>
      <c r="C309" s="2">
        <v>2156443</v>
      </c>
      <c r="D309" s="2" t="s">
        <v>462</v>
      </c>
      <c r="E309" s="2">
        <v>68</v>
      </c>
      <c r="F309" s="2">
        <v>0</v>
      </c>
      <c r="G309" s="2">
        <v>0</v>
      </c>
      <c r="H309" s="2">
        <v>0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 s="2">
        <v>0</v>
      </c>
      <c r="O309" s="2">
        <v>0</v>
      </c>
      <c r="P309" s="2">
        <v>0</v>
      </c>
      <c r="Q309" s="2">
        <f>SUM(parking_data_1030[[#This Row],[Résidenti]:[Autres]])</f>
        <v>68</v>
      </c>
      <c r="R309" s="2">
        <v>0</v>
      </c>
      <c r="S309" s="2">
        <v>0</v>
      </c>
      <c r="T309" s="2" t="s">
        <v>43</v>
      </c>
      <c r="U309" s="2" t="s">
        <v>44</v>
      </c>
      <c r="V309" s="2" t="s">
        <v>45</v>
      </c>
      <c r="W309" s="2">
        <v>1</v>
      </c>
      <c r="X309" s="2">
        <v>1</v>
      </c>
      <c r="Y309" s="2">
        <v>0</v>
      </c>
      <c r="Z309" s="2">
        <v>0</v>
      </c>
      <c r="AA309" s="2">
        <v>0</v>
      </c>
      <c r="AB309" s="2"/>
      <c r="AC309" s="2">
        <v>0</v>
      </c>
      <c r="AD309" s="2"/>
      <c r="AE309" s="2" t="s">
        <v>46</v>
      </c>
      <c r="AF309" s="2">
        <v>0</v>
      </c>
      <c r="AG309" s="2">
        <v>0</v>
      </c>
      <c r="AH309" s="2"/>
      <c r="AI309" s="2" t="s">
        <v>43</v>
      </c>
      <c r="AJ309" s="2">
        <v>0</v>
      </c>
      <c r="AK309" s="2">
        <v>0</v>
      </c>
      <c r="AL309" s="2"/>
      <c r="AM309" s="2">
        <v>0</v>
      </c>
      <c r="AN309" s="2">
        <v>0</v>
      </c>
      <c r="AO309" s="2"/>
      <c r="AP309" s="2"/>
      <c r="AQ309" s="2" t="s">
        <v>48</v>
      </c>
      <c r="AR309" s="2" t="s">
        <v>857</v>
      </c>
      <c r="AS309" s="2" t="s">
        <v>1308</v>
      </c>
      <c r="AT309" s="2" t="s">
        <v>1309</v>
      </c>
      <c r="AU309" s="2" t="s">
        <v>1313</v>
      </c>
      <c r="AV309" s="2" t="s">
        <v>1137</v>
      </c>
      <c r="AW309" s="2">
        <v>4.3919645593999999</v>
      </c>
      <c r="AX309" s="2">
        <v>50.854787877600003</v>
      </c>
    </row>
    <row r="310" spans="2:50" x14ac:dyDescent="0.25">
      <c r="B310" s="2">
        <v>392</v>
      </c>
      <c r="C310" s="2">
        <v>2171352</v>
      </c>
      <c r="D310" s="2" t="s">
        <v>619</v>
      </c>
      <c r="E310" s="2">
        <v>36</v>
      </c>
      <c r="F310" s="2">
        <v>0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f>SUM(parking_data_1030[[#This Row],[Résidenti]:[Autres]])</f>
        <v>36</v>
      </c>
      <c r="R310" s="2">
        <v>0</v>
      </c>
      <c r="S310" s="2">
        <v>0</v>
      </c>
      <c r="T310" s="2" t="s">
        <v>43</v>
      </c>
      <c r="U310" s="2" t="s">
        <v>95</v>
      </c>
      <c r="V310" s="2" t="s">
        <v>59</v>
      </c>
      <c r="W310" s="2">
        <v>0</v>
      </c>
      <c r="X310" s="2">
        <v>1</v>
      </c>
      <c r="Y310" s="2">
        <v>0</v>
      </c>
      <c r="Z310" s="2">
        <v>1</v>
      </c>
      <c r="AA310" s="2">
        <v>0</v>
      </c>
      <c r="AB310" s="2"/>
      <c r="AC310" s="2">
        <v>0</v>
      </c>
      <c r="AD310" s="2"/>
      <c r="AE310" s="2" t="s">
        <v>46</v>
      </c>
      <c r="AF310" s="2">
        <v>0</v>
      </c>
      <c r="AG310" s="2">
        <v>0</v>
      </c>
      <c r="AH310" s="2" t="s">
        <v>120</v>
      </c>
      <c r="AI310" s="2" t="s">
        <v>43</v>
      </c>
      <c r="AJ310" s="2">
        <v>0</v>
      </c>
      <c r="AK310" s="2">
        <v>0</v>
      </c>
      <c r="AL310" s="2"/>
      <c r="AM310" s="2">
        <v>0</v>
      </c>
      <c r="AN310" s="2">
        <v>0</v>
      </c>
      <c r="AO310" s="2"/>
      <c r="AP310" s="2"/>
      <c r="AQ310" s="2" t="s">
        <v>48</v>
      </c>
      <c r="AR310" s="2" t="s">
        <v>1485</v>
      </c>
      <c r="AS310" s="2" t="s">
        <v>1508</v>
      </c>
      <c r="AT310" s="2" t="s">
        <v>1509</v>
      </c>
      <c r="AU310" s="2" t="s">
        <v>1510</v>
      </c>
      <c r="AV310" s="2" t="s">
        <v>1170</v>
      </c>
      <c r="AW310" s="2">
        <v>4.3748184214999997</v>
      </c>
      <c r="AX310" s="2">
        <v>50.870040766899997</v>
      </c>
    </row>
    <row r="311" spans="2:50" x14ac:dyDescent="0.25">
      <c r="B311" s="2">
        <v>154</v>
      </c>
      <c r="C311" s="2">
        <v>1166238</v>
      </c>
      <c r="D311" s="2" t="s">
        <v>228</v>
      </c>
      <c r="E311" s="2">
        <v>28</v>
      </c>
      <c r="F311" s="2">
        <v>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f>SUM(parking_data_1030[[#This Row],[Résidenti]:[Autres]])</f>
        <v>28</v>
      </c>
      <c r="R311" s="2">
        <v>0</v>
      </c>
      <c r="S311" s="2">
        <v>0</v>
      </c>
      <c r="T311" s="2" t="s">
        <v>43</v>
      </c>
      <c r="U311" s="2" t="s">
        <v>229</v>
      </c>
      <c r="V311" s="2" t="s">
        <v>45</v>
      </c>
      <c r="W311" s="2">
        <v>1</v>
      </c>
      <c r="X311" s="2">
        <v>1</v>
      </c>
      <c r="Y311" s="2">
        <v>0</v>
      </c>
      <c r="Z311" s="2">
        <v>0</v>
      </c>
      <c r="AA311" s="2">
        <v>0</v>
      </c>
      <c r="AB311" s="2"/>
      <c r="AC311" s="2">
        <v>0</v>
      </c>
      <c r="AD311" s="2"/>
      <c r="AE311" s="2" t="s">
        <v>106</v>
      </c>
      <c r="AF311" s="2">
        <v>0</v>
      </c>
      <c r="AG311" s="2">
        <v>0</v>
      </c>
      <c r="AH311" s="2"/>
      <c r="AI311" s="2" t="s">
        <v>43</v>
      </c>
      <c r="AJ311" s="2">
        <v>0</v>
      </c>
      <c r="AK311" s="2">
        <v>0</v>
      </c>
      <c r="AL311" s="2"/>
      <c r="AM311" s="2">
        <v>0</v>
      </c>
      <c r="AN311" s="2">
        <v>0</v>
      </c>
      <c r="AO311" s="2"/>
      <c r="AP311" s="2"/>
      <c r="AQ311" s="2" t="s">
        <v>48</v>
      </c>
      <c r="AR311" s="2" t="s">
        <v>1153</v>
      </c>
      <c r="AS311" s="2" t="s">
        <v>1154</v>
      </c>
      <c r="AT311" s="2" t="s">
        <v>1155</v>
      </c>
      <c r="AU311" s="2" t="s">
        <v>1156</v>
      </c>
      <c r="AV311" s="2" t="s">
        <v>1157</v>
      </c>
      <c r="AW311" s="2">
        <v>4.4100669210000003</v>
      </c>
      <c r="AX311" s="2">
        <v>50.849989147300001</v>
      </c>
    </row>
    <row r="312" spans="2:50" x14ac:dyDescent="0.25">
      <c r="B312" s="2">
        <v>247</v>
      </c>
      <c r="C312" s="2">
        <v>8778327</v>
      </c>
      <c r="D312" s="2" t="s">
        <v>197</v>
      </c>
      <c r="E312" s="2">
        <v>35</v>
      </c>
      <c r="F312" s="2">
        <v>0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f>SUM(parking_data_1030[[#This Row],[Résidenti]:[Autres]])</f>
        <v>35</v>
      </c>
      <c r="R312" s="2">
        <v>0</v>
      </c>
      <c r="S312" s="2">
        <v>0</v>
      </c>
      <c r="T312" s="2" t="s">
        <v>43</v>
      </c>
      <c r="U312" s="2" t="s">
        <v>76</v>
      </c>
      <c r="V312" s="2" t="s">
        <v>45</v>
      </c>
      <c r="W312" s="2">
        <v>1</v>
      </c>
      <c r="X312" s="2">
        <v>0</v>
      </c>
      <c r="Y312" s="2">
        <v>0</v>
      </c>
      <c r="Z312" s="2">
        <v>0</v>
      </c>
      <c r="AA312" s="2">
        <v>0</v>
      </c>
      <c r="AB312" s="2"/>
      <c r="AC312" s="2">
        <v>0</v>
      </c>
      <c r="AD312" s="2"/>
      <c r="AE312" s="2" t="s">
        <v>106</v>
      </c>
      <c r="AF312" s="2">
        <v>0</v>
      </c>
      <c r="AG312" s="2">
        <v>0</v>
      </c>
      <c r="AH312" s="2"/>
      <c r="AI312" s="2" t="s">
        <v>43</v>
      </c>
      <c r="AJ312" s="2">
        <v>0</v>
      </c>
      <c r="AK312" s="2">
        <v>0</v>
      </c>
      <c r="AL312" s="2"/>
      <c r="AM312" s="2">
        <v>0</v>
      </c>
      <c r="AN312" s="2">
        <v>0</v>
      </c>
      <c r="AO312" s="2"/>
      <c r="AP312" s="2"/>
      <c r="AQ312" s="2" t="s">
        <v>48</v>
      </c>
      <c r="AR312" s="2" t="s">
        <v>1066</v>
      </c>
      <c r="AS312" s="2" t="s">
        <v>1289</v>
      </c>
      <c r="AT312" s="2" t="s">
        <v>1290</v>
      </c>
      <c r="AU312" s="2" t="s">
        <v>1288</v>
      </c>
      <c r="AV312" s="2" t="s">
        <v>1142</v>
      </c>
      <c r="AW312" s="2">
        <v>4.3895661644999997</v>
      </c>
      <c r="AX312" s="2">
        <v>50.851310235600003</v>
      </c>
    </row>
    <row r="313" spans="2:50" x14ac:dyDescent="0.25">
      <c r="B313" s="2">
        <v>248</v>
      </c>
      <c r="C313" s="2">
        <v>8778338</v>
      </c>
      <c r="D313" s="2" t="s">
        <v>178</v>
      </c>
      <c r="E313" s="2">
        <v>20</v>
      </c>
      <c r="F313" s="2">
        <v>0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f>SUM(parking_data_1030[[#This Row],[Résidenti]:[Autres]])</f>
        <v>20</v>
      </c>
      <c r="R313" s="2">
        <v>0</v>
      </c>
      <c r="S313" s="2">
        <v>0</v>
      </c>
      <c r="T313" s="2" t="s">
        <v>43</v>
      </c>
      <c r="U313" s="2" t="s">
        <v>76</v>
      </c>
      <c r="V313" s="2" t="s">
        <v>45</v>
      </c>
      <c r="W313" s="2">
        <v>1</v>
      </c>
      <c r="X313" s="2">
        <v>0</v>
      </c>
      <c r="Y313" s="2">
        <v>0</v>
      </c>
      <c r="Z313" s="2">
        <v>0</v>
      </c>
      <c r="AA313" s="2">
        <v>0</v>
      </c>
      <c r="AB313" s="2"/>
      <c r="AC313" s="2">
        <v>0</v>
      </c>
      <c r="AD313" s="2"/>
      <c r="AE313" s="2" t="s">
        <v>106</v>
      </c>
      <c r="AF313" s="2">
        <v>0</v>
      </c>
      <c r="AG313" s="2">
        <v>0</v>
      </c>
      <c r="AH313" s="2"/>
      <c r="AI313" s="2" t="s">
        <v>43</v>
      </c>
      <c r="AJ313" s="2">
        <v>0</v>
      </c>
      <c r="AK313" s="2">
        <v>0</v>
      </c>
      <c r="AL313" s="2"/>
      <c r="AM313" s="2">
        <v>0</v>
      </c>
      <c r="AN313" s="2">
        <v>0</v>
      </c>
      <c r="AO313" s="2"/>
      <c r="AP313" s="2"/>
      <c r="AQ313" s="2" t="s">
        <v>48</v>
      </c>
      <c r="AR313" s="2" t="s">
        <v>952</v>
      </c>
      <c r="AS313" s="2" t="s">
        <v>1289</v>
      </c>
      <c r="AT313" s="2" t="s">
        <v>1290</v>
      </c>
      <c r="AU313" s="2" t="s">
        <v>1288</v>
      </c>
      <c r="AV313" s="2" t="s">
        <v>1142</v>
      </c>
      <c r="AW313" s="2">
        <v>4.3895541285000004</v>
      </c>
      <c r="AX313" s="2">
        <v>50.8509026666</v>
      </c>
    </row>
    <row r="314" spans="2:50" x14ac:dyDescent="0.25">
      <c r="B314" s="2">
        <v>252</v>
      </c>
      <c r="C314" s="2">
        <v>8778350</v>
      </c>
      <c r="D314" s="2" t="s">
        <v>793</v>
      </c>
      <c r="E314" s="2">
        <v>40</v>
      </c>
      <c r="F314" s="2">
        <v>0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f>SUM(parking_data_1030[[#This Row],[Résidenti]:[Autres]])</f>
        <v>40</v>
      </c>
      <c r="R314" s="2">
        <v>5</v>
      </c>
      <c r="S314" s="2">
        <v>5</v>
      </c>
      <c r="T314" s="2" t="s">
        <v>43</v>
      </c>
      <c r="U314" s="2" t="s">
        <v>76</v>
      </c>
      <c r="V314" s="2" t="s">
        <v>45</v>
      </c>
      <c r="W314" s="2">
        <v>1</v>
      </c>
      <c r="X314" s="2">
        <v>0</v>
      </c>
      <c r="Y314" s="2">
        <v>0</v>
      </c>
      <c r="Z314" s="2">
        <v>0</v>
      </c>
      <c r="AA314" s="2">
        <v>0</v>
      </c>
      <c r="AB314" s="2"/>
      <c r="AC314" s="2">
        <v>100</v>
      </c>
      <c r="AD314" s="2"/>
      <c r="AE314" s="2" t="s">
        <v>106</v>
      </c>
      <c r="AF314" s="2">
        <v>0</v>
      </c>
      <c r="AG314" s="2">
        <v>0</v>
      </c>
      <c r="AH314" s="2"/>
      <c r="AI314" s="2" t="s">
        <v>43</v>
      </c>
      <c r="AJ314" s="2">
        <v>0</v>
      </c>
      <c r="AK314" s="2">
        <v>0</v>
      </c>
      <c r="AL314" s="2"/>
      <c r="AM314" s="2">
        <v>0</v>
      </c>
      <c r="AN314" s="2">
        <v>0</v>
      </c>
      <c r="AO314" s="2"/>
      <c r="AP314" s="2"/>
      <c r="AQ314" s="2" t="s">
        <v>48</v>
      </c>
      <c r="AR314" s="2" t="s">
        <v>1038</v>
      </c>
      <c r="AS314" s="2" t="s">
        <v>1289</v>
      </c>
      <c r="AT314" s="2" t="s">
        <v>1290</v>
      </c>
      <c r="AU314" s="2" t="s">
        <v>1295</v>
      </c>
      <c r="AV314" s="2" t="s">
        <v>1142</v>
      </c>
      <c r="AW314" s="2">
        <v>4.3899343816999998</v>
      </c>
      <c r="AX314" s="2">
        <v>50.851062624299999</v>
      </c>
    </row>
    <row r="315" spans="2:50" x14ac:dyDescent="0.25">
      <c r="B315" s="2">
        <v>437</v>
      </c>
      <c r="C315" s="2">
        <v>2168797</v>
      </c>
      <c r="D315" s="2" t="s">
        <v>642</v>
      </c>
      <c r="E315" s="2">
        <v>0</v>
      </c>
      <c r="F315" s="2">
        <v>0</v>
      </c>
      <c r="G315" s="2">
        <v>0</v>
      </c>
      <c r="H315" s="2">
        <v>0</v>
      </c>
      <c r="I315" s="2">
        <v>10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f>SUM(parking_data_1030[[#This Row],[Résidenti]:[Autres]])</f>
        <v>10</v>
      </c>
      <c r="R315" s="2">
        <v>0</v>
      </c>
      <c r="S315" s="2">
        <v>0</v>
      </c>
      <c r="T315" s="2" t="s">
        <v>43</v>
      </c>
      <c r="U315" s="2" t="s">
        <v>44</v>
      </c>
      <c r="V315" s="2" t="s">
        <v>45</v>
      </c>
      <c r="W315" s="2">
        <v>0</v>
      </c>
      <c r="X315" s="2">
        <v>1</v>
      </c>
      <c r="Y315" s="2">
        <v>0</v>
      </c>
      <c r="Z315" s="2">
        <v>1</v>
      </c>
      <c r="AA315" s="2">
        <v>0</v>
      </c>
      <c r="AB315" s="2"/>
      <c r="AC315" s="2">
        <v>0</v>
      </c>
      <c r="AD315" s="2"/>
      <c r="AE315" s="2" t="s">
        <v>46</v>
      </c>
      <c r="AF315" s="2">
        <v>0</v>
      </c>
      <c r="AG315" s="2">
        <v>0</v>
      </c>
      <c r="AH315" s="2" t="s">
        <v>55</v>
      </c>
      <c r="AI315" s="2" t="s">
        <v>43</v>
      </c>
      <c r="AJ315" s="2">
        <v>0</v>
      </c>
      <c r="AK315" s="2">
        <v>10</v>
      </c>
      <c r="AL315" s="2"/>
      <c r="AM315" s="2">
        <v>0</v>
      </c>
      <c r="AN315" s="2">
        <v>0</v>
      </c>
      <c r="AO315" s="2"/>
      <c r="AP315" s="2"/>
      <c r="AQ315" s="2" t="s">
        <v>48</v>
      </c>
      <c r="AR315" s="2" t="s">
        <v>993</v>
      </c>
      <c r="AS315" s="2" t="s">
        <v>1556</v>
      </c>
      <c r="AT315" s="2" t="s">
        <v>1557</v>
      </c>
      <c r="AU315" s="2" t="s">
        <v>1558</v>
      </c>
      <c r="AV315" s="2" t="s">
        <v>911</v>
      </c>
      <c r="AW315" s="2">
        <v>4.3643056756999998</v>
      </c>
      <c r="AX315" s="2">
        <v>50.870229677600001</v>
      </c>
    </row>
    <row r="316" spans="2:50" x14ac:dyDescent="0.25">
      <c r="B316" s="2">
        <v>439</v>
      </c>
      <c r="C316" s="2">
        <v>2168872</v>
      </c>
      <c r="D316" s="2" t="s">
        <v>644</v>
      </c>
      <c r="E316" s="2">
        <v>0</v>
      </c>
      <c r="F316" s="2">
        <v>0</v>
      </c>
      <c r="G316" s="2">
        <v>0</v>
      </c>
      <c r="H316" s="2">
        <v>0</v>
      </c>
      <c r="I316" s="2">
        <v>15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  <c r="Q316" s="2">
        <f>SUM(parking_data_1030[[#This Row],[Résidenti]:[Autres]])</f>
        <v>15</v>
      </c>
      <c r="R316" s="2">
        <v>0</v>
      </c>
      <c r="S316" s="2">
        <v>0</v>
      </c>
      <c r="T316" s="2" t="s">
        <v>43</v>
      </c>
      <c r="U316" s="2" t="s">
        <v>76</v>
      </c>
      <c r="V316" s="2" t="s">
        <v>45</v>
      </c>
      <c r="W316" s="2">
        <v>1</v>
      </c>
      <c r="X316" s="2">
        <v>1</v>
      </c>
      <c r="Y316" s="2">
        <v>0</v>
      </c>
      <c r="Z316" s="2">
        <v>0</v>
      </c>
      <c r="AA316" s="2">
        <v>1</v>
      </c>
      <c r="AB316" s="2"/>
      <c r="AC316" s="2">
        <v>0</v>
      </c>
      <c r="AD316" s="2"/>
      <c r="AE316" s="2" t="s">
        <v>46</v>
      </c>
      <c r="AF316" s="2">
        <v>0</v>
      </c>
      <c r="AG316" s="2">
        <v>0</v>
      </c>
      <c r="AH316" s="2" t="s">
        <v>645</v>
      </c>
      <c r="AI316" s="2" t="s">
        <v>43</v>
      </c>
      <c r="AJ316" s="2">
        <v>0</v>
      </c>
      <c r="AK316" s="2">
        <v>15</v>
      </c>
      <c r="AL316" s="2"/>
      <c r="AM316" s="2">
        <v>0</v>
      </c>
      <c r="AN316" s="2">
        <v>0</v>
      </c>
      <c r="AO316" s="2"/>
      <c r="AP316" s="2"/>
      <c r="AQ316" s="2" t="s">
        <v>48</v>
      </c>
      <c r="AR316" s="2" t="s">
        <v>1377</v>
      </c>
      <c r="AS316" s="2" t="s">
        <v>1556</v>
      </c>
      <c r="AT316" s="2" t="s">
        <v>1557</v>
      </c>
      <c r="AU316" s="2" t="s">
        <v>1559</v>
      </c>
      <c r="AV316" s="2" t="s">
        <v>911</v>
      </c>
      <c r="AW316" s="2">
        <v>4.3613109776999996</v>
      </c>
      <c r="AX316" s="2">
        <v>50.868152341699997</v>
      </c>
    </row>
    <row r="317" spans="2:50" x14ac:dyDescent="0.25">
      <c r="B317" s="2">
        <v>0</v>
      </c>
      <c r="C317" s="2">
        <v>2175571</v>
      </c>
      <c r="D317" s="2" t="s">
        <v>75</v>
      </c>
      <c r="E317" s="2">
        <v>16</v>
      </c>
      <c r="F317" s="2">
        <v>0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f>SUM(parking_data_1030[[#This Row],[Résidenti]:[Autres]])</f>
        <v>16</v>
      </c>
      <c r="R317" s="2">
        <v>0</v>
      </c>
      <c r="S317" s="2">
        <v>0</v>
      </c>
      <c r="T317" s="2" t="s">
        <v>43</v>
      </c>
      <c r="U317" s="2" t="s">
        <v>76</v>
      </c>
      <c r="V317" s="2" t="s">
        <v>45</v>
      </c>
      <c r="W317" s="2">
        <v>1</v>
      </c>
      <c r="X317" s="2">
        <v>1</v>
      </c>
      <c r="Y317" s="2">
        <v>0</v>
      </c>
      <c r="Z317" s="2">
        <v>0</v>
      </c>
      <c r="AA317" s="2">
        <v>0</v>
      </c>
      <c r="AB317" s="2"/>
      <c r="AC317" s="2">
        <v>0</v>
      </c>
      <c r="AD317" s="2"/>
      <c r="AE317" s="2" t="s">
        <v>52</v>
      </c>
      <c r="AF317" s="2">
        <v>0</v>
      </c>
      <c r="AG317" s="2">
        <v>0</v>
      </c>
      <c r="AH317" s="2"/>
      <c r="AI317" s="2" t="s">
        <v>43</v>
      </c>
      <c r="AJ317" s="2">
        <v>0</v>
      </c>
      <c r="AK317" s="2">
        <v>0</v>
      </c>
      <c r="AL317" s="2"/>
      <c r="AM317" s="2">
        <v>0</v>
      </c>
      <c r="AN317" s="2">
        <v>0</v>
      </c>
      <c r="AO317" s="2"/>
      <c r="AP317" s="2"/>
      <c r="AQ317" s="2" t="s">
        <v>48</v>
      </c>
      <c r="AR317" s="2" t="s">
        <v>831</v>
      </c>
      <c r="AS317" s="2" t="s">
        <v>832</v>
      </c>
      <c r="AT317" s="2" t="s">
        <v>833</v>
      </c>
      <c r="AU317" s="2" t="s">
        <v>834</v>
      </c>
      <c r="AV317" s="2" t="s">
        <v>835</v>
      </c>
      <c r="AW317" s="2">
        <v>4.3756227697999996</v>
      </c>
      <c r="AX317" s="2">
        <v>50.875289177699997</v>
      </c>
    </row>
    <row r="318" spans="2:50" x14ac:dyDescent="0.25">
      <c r="B318" s="2">
        <v>230</v>
      </c>
      <c r="C318" s="2">
        <v>2157677</v>
      </c>
      <c r="D318" s="2" t="s">
        <v>222</v>
      </c>
      <c r="E318" s="2">
        <v>0</v>
      </c>
      <c r="F318" s="2">
        <v>0</v>
      </c>
      <c r="G318" s="2">
        <v>0</v>
      </c>
      <c r="H318" s="2">
        <v>0</v>
      </c>
      <c r="I318" s="2">
        <v>15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f>SUM(parking_data_1030[[#This Row],[Résidenti]:[Autres]])</f>
        <v>15</v>
      </c>
      <c r="R318" s="2">
        <v>0</v>
      </c>
      <c r="S318" s="2">
        <v>0</v>
      </c>
      <c r="T318" s="2" t="s">
        <v>43</v>
      </c>
      <c r="U318" s="2" t="s">
        <v>44</v>
      </c>
      <c r="V318" s="2" t="s">
        <v>45</v>
      </c>
      <c r="W318" s="2">
        <v>1</v>
      </c>
      <c r="X318" s="2">
        <v>1</v>
      </c>
      <c r="Y318" s="2">
        <v>0</v>
      </c>
      <c r="Z318" s="2">
        <v>0</v>
      </c>
      <c r="AA318" s="2">
        <v>0</v>
      </c>
      <c r="AB318" s="2"/>
      <c r="AC318" s="2">
        <v>0</v>
      </c>
      <c r="AD318" s="2"/>
      <c r="AE318" s="2" t="s">
        <v>46</v>
      </c>
      <c r="AF318" s="2">
        <v>0</v>
      </c>
      <c r="AG318" s="2">
        <v>0</v>
      </c>
      <c r="AH318" s="2" t="s">
        <v>223</v>
      </c>
      <c r="AI318" s="2" t="s">
        <v>43</v>
      </c>
      <c r="AJ318" s="2">
        <v>0</v>
      </c>
      <c r="AK318" s="2">
        <v>15</v>
      </c>
      <c r="AL318" s="2"/>
      <c r="AM318" s="2">
        <v>0</v>
      </c>
      <c r="AN318" s="2">
        <v>0</v>
      </c>
      <c r="AO318" s="2"/>
      <c r="AP318" s="2"/>
      <c r="AQ318" s="2" t="s">
        <v>48</v>
      </c>
      <c r="AR318" s="2" t="s">
        <v>1260</v>
      </c>
      <c r="AS318" s="2" t="s">
        <v>1261</v>
      </c>
      <c r="AT318" s="2" t="s">
        <v>1262</v>
      </c>
      <c r="AU318" s="2" t="s">
        <v>1258</v>
      </c>
      <c r="AV318" s="2" t="s">
        <v>1142</v>
      </c>
      <c r="AW318" s="2">
        <v>4.3954192193999999</v>
      </c>
      <c r="AX318" s="2">
        <v>50.853396881800002</v>
      </c>
    </row>
    <row r="319" spans="2:50" x14ac:dyDescent="0.25">
      <c r="B319" s="2">
        <v>235</v>
      </c>
      <c r="C319" s="2">
        <v>2157929</v>
      </c>
      <c r="D319" s="2" t="s">
        <v>206</v>
      </c>
      <c r="E319" s="2">
        <v>11</v>
      </c>
      <c r="F319" s="2">
        <v>0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f>SUM(parking_data_1030[[#This Row],[Résidenti]:[Autres]])</f>
        <v>11</v>
      </c>
      <c r="R319" s="2">
        <v>0</v>
      </c>
      <c r="S319" s="2">
        <v>0</v>
      </c>
      <c r="T319" s="2" t="s">
        <v>43</v>
      </c>
      <c r="U319" s="2" t="s">
        <v>44</v>
      </c>
      <c r="V319" s="2" t="s">
        <v>45</v>
      </c>
      <c r="W319" s="2">
        <v>1</v>
      </c>
      <c r="X319" s="2">
        <v>1</v>
      </c>
      <c r="Y319" s="2">
        <v>0</v>
      </c>
      <c r="Z319" s="2">
        <v>0</v>
      </c>
      <c r="AA319" s="2">
        <v>0</v>
      </c>
      <c r="AB319" s="2"/>
      <c r="AC319" s="2">
        <v>0</v>
      </c>
      <c r="AD319" s="2"/>
      <c r="AE319" s="2" t="s">
        <v>106</v>
      </c>
      <c r="AF319" s="2">
        <v>0</v>
      </c>
      <c r="AG319" s="2">
        <v>0</v>
      </c>
      <c r="AH319" s="2"/>
      <c r="AI319" s="2" t="s">
        <v>43</v>
      </c>
      <c r="AJ319" s="2">
        <v>0</v>
      </c>
      <c r="AK319" s="2">
        <v>0</v>
      </c>
      <c r="AL319" s="2"/>
      <c r="AM319" s="2">
        <v>0</v>
      </c>
      <c r="AN319" s="2">
        <v>0</v>
      </c>
      <c r="AO319" s="2"/>
      <c r="AP319" s="2"/>
      <c r="AQ319" s="2" t="s">
        <v>48</v>
      </c>
      <c r="AR319" s="2" t="s">
        <v>1267</v>
      </c>
      <c r="AS319" s="2" t="s">
        <v>1261</v>
      </c>
      <c r="AT319" s="2" t="s">
        <v>1262</v>
      </c>
      <c r="AU319" s="2" t="s">
        <v>1141</v>
      </c>
      <c r="AV319" s="2" t="s">
        <v>1142</v>
      </c>
      <c r="AW319" s="2">
        <v>4.3950488520000004</v>
      </c>
      <c r="AX319" s="2">
        <v>50.851599154100001</v>
      </c>
    </row>
    <row r="320" spans="2:50" x14ac:dyDescent="0.25">
      <c r="B320" s="2">
        <v>327</v>
      </c>
      <c r="C320" s="2">
        <v>2150976</v>
      </c>
      <c r="D320" s="2" t="s">
        <v>364</v>
      </c>
      <c r="E320" s="2">
        <v>0</v>
      </c>
      <c r="F320" s="2">
        <v>0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63</v>
      </c>
      <c r="P320" s="2">
        <v>0</v>
      </c>
      <c r="Q320" s="2">
        <f>SUM(parking_data_1030[[#This Row],[Résidenti]:[Autres]])</f>
        <v>63</v>
      </c>
      <c r="R320" s="2">
        <v>63</v>
      </c>
      <c r="S320" s="2">
        <v>0</v>
      </c>
      <c r="T320" s="2" t="s">
        <v>43</v>
      </c>
      <c r="U320" s="2" t="s">
        <v>44</v>
      </c>
      <c r="V320" s="2" t="s">
        <v>45</v>
      </c>
      <c r="W320" s="2">
        <v>1</v>
      </c>
      <c r="X320" s="2">
        <v>1</v>
      </c>
      <c r="Y320" s="2">
        <v>0</v>
      </c>
      <c r="Z320" s="2">
        <v>0</v>
      </c>
      <c r="AA320" s="2">
        <v>0</v>
      </c>
      <c r="AB320" s="2"/>
      <c r="AC320" s="2">
        <v>0</v>
      </c>
      <c r="AD320" s="2"/>
      <c r="AE320" s="2" t="s">
        <v>46</v>
      </c>
      <c r="AF320" s="2">
        <v>0</v>
      </c>
      <c r="AG320" s="2">
        <v>0</v>
      </c>
      <c r="AH320" s="2" t="s">
        <v>365</v>
      </c>
      <c r="AI320" s="2" t="s">
        <v>43</v>
      </c>
      <c r="AJ320" s="2">
        <v>0</v>
      </c>
      <c r="AK320" s="2">
        <v>63</v>
      </c>
      <c r="AL320" s="2" t="s">
        <v>366</v>
      </c>
      <c r="AM320" s="2">
        <v>0</v>
      </c>
      <c r="AN320" s="2">
        <v>0</v>
      </c>
      <c r="AO320" s="2"/>
      <c r="AP320" s="2"/>
      <c r="AQ320" s="2" t="s">
        <v>48</v>
      </c>
      <c r="AR320" s="2" t="s">
        <v>934</v>
      </c>
      <c r="AS320" s="2" t="s">
        <v>1414</v>
      </c>
      <c r="AT320" s="2" t="s">
        <v>1415</v>
      </c>
      <c r="AU320" s="2" t="s">
        <v>1416</v>
      </c>
      <c r="AV320" s="2" t="s">
        <v>1137</v>
      </c>
      <c r="AW320" s="2">
        <v>4.3829429297000004</v>
      </c>
      <c r="AX320" s="2">
        <v>50.860350445500004</v>
      </c>
    </row>
    <row r="321" spans="2:50" x14ac:dyDescent="0.25">
      <c r="B321" s="2">
        <v>1</v>
      </c>
      <c r="C321" s="2"/>
      <c r="D321" s="2" t="s">
        <v>77</v>
      </c>
      <c r="E321" s="2">
        <v>0</v>
      </c>
      <c r="F321" s="2">
        <v>0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f>SUM(parking_data_1030[[#This Row],[Résidenti]:[Autres]])</f>
        <v>0</v>
      </c>
      <c r="R321" s="2">
        <v>0</v>
      </c>
      <c r="S321" s="2">
        <v>0</v>
      </c>
      <c r="T321" s="2" t="s">
        <v>43</v>
      </c>
      <c r="U321" s="2" t="s">
        <v>64</v>
      </c>
      <c r="V321" s="2" t="s">
        <v>59</v>
      </c>
      <c r="W321" s="2">
        <v>0</v>
      </c>
      <c r="X321" s="2">
        <v>0</v>
      </c>
      <c r="Y321" s="2">
        <v>0</v>
      </c>
      <c r="Z321" s="2">
        <v>1</v>
      </c>
      <c r="AA321" s="2">
        <v>0</v>
      </c>
      <c r="AB321" s="2"/>
      <c r="AC321" s="2">
        <v>0</v>
      </c>
      <c r="AD321" s="2"/>
      <c r="AE321" s="2" t="s">
        <v>52</v>
      </c>
      <c r="AF321" s="2">
        <v>0</v>
      </c>
      <c r="AG321" s="2">
        <v>0</v>
      </c>
      <c r="AH321" s="2" t="s">
        <v>78</v>
      </c>
      <c r="AI321" s="2" t="s">
        <v>79</v>
      </c>
      <c r="AJ321" s="2">
        <v>0</v>
      </c>
      <c r="AK321" s="2">
        <v>0</v>
      </c>
      <c r="AL321" s="2"/>
      <c r="AM321" s="2">
        <v>0</v>
      </c>
      <c r="AN321" s="2">
        <v>0</v>
      </c>
      <c r="AO321" s="2"/>
      <c r="AP321" s="2"/>
      <c r="AQ321" s="2" t="s">
        <v>48</v>
      </c>
      <c r="AR321" s="2"/>
      <c r="AS321" s="2" t="s">
        <v>1601</v>
      </c>
      <c r="AT321" s="2" t="s">
        <v>1602</v>
      </c>
      <c r="AU321" s="2" t="s">
        <v>836</v>
      </c>
      <c r="AV321" s="2" t="s">
        <v>836</v>
      </c>
      <c r="AW321" s="2">
        <v>4.3763858347999998</v>
      </c>
      <c r="AX321" s="2">
        <v>50.876442922099997</v>
      </c>
    </row>
    <row r="322" spans="2:50" x14ac:dyDescent="0.25">
      <c r="B322" s="2">
        <v>303</v>
      </c>
      <c r="C322" s="2">
        <v>2146294</v>
      </c>
      <c r="D322" s="2" t="s">
        <v>507</v>
      </c>
      <c r="E322" s="2">
        <v>29</v>
      </c>
      <c r="F322" s="2">
        <v>0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f>SUM(parking_data_1030[[#This Row],[Résidenti]:[Autres]])</f>
        <v>29</v>
      </c>
      <c r="R322" s="2">
        <v>0</v>
      </c>
      <c r="S322" s="2">
        <v>0</v>
      </c>
      <c r="T322" s="2" t="s">
        <v>43</v>
      </c>
      <c r="U322" s="2" t="s">
        <v>54</v>
      </c>
      <c r="V322" s="2" t="s">
        <v>45</v>
      </c>
      <c r="W322" s="2">
        <v>1</v>
      </c>
      <c r="X322" s="2">
        <v>1</v>
      </c>
      <c r="Y322" s="2">
        <v>0</v>
      </c>
      <c r="Z322" s="2">
        <v>0</v>
      </c>
      <c r="AA322" s="2">
        <v>0</v>
      </c>
      <c r="AB322" s="2"/>
      <c r="AC322" s="2">
        <v>0</v>
      </c>
      <c r="AD322" s="2"/>
      <c r="AE322" s="2" t="s">
        <v>46</v>
      </c>
      <c r="AF322" s="2">
        <v>0</v>
      </c>
      <c r="AG322" s="2">
        <v>0</v>
      </c>
      <c r="AH322" s="2"/>
      <c r="AI322" s="2" t="s">
        <v>43</v>
      </c>
      <c r="AJ322" s="2">
        <v>0</v>
      </c>
      <c r="AK322" s="2">
        <v>0</v>
      </c>
      <c r="AL322" s="2"/>
      <c r="AM322" s="2">
        <v>0</v>
      </c>
      <c r="AN322" s="2">
        <v>0</v>
      </c>
      <c r="AO322" s="2"/>
      <c r="AP322" s="2"/>
      <c r="AQ322" s="2" t="s">
        <v>48</v>
      </c>
      <c r="AR322" s="2" t="s">
        <v>920</v>
      </c>
      <c r="AS322" s="2" t="s">
        <v>1371</v>
      </c>
      <c r="AT322" s="2" t="s">
        <v>1372</v>
      </c>
      <c r="AU322" s="2" t="s">
        <v>1373</v>
      </c>
      <c r="AV322" s="2" t="s">
        <v>1137</v>
      </c>
      <c r="AW322" s="2">
        <v>4.3803131047999999</v>
      </c>
      <c r="AX322" s="2">
        <v>50.857778684199999</v>
      </c>
    </row>
    <row r="323" spans="2:50" x14ac:dyDescent="0.25">
      <c r="B323" s="2">
        <v>33</v>
      </c>
      <c r="C323" s="2">
        <v>2174660</v>
      </c>
      <c r="D323" s="2" t="s">
        <v>131</v>
      </c>
      <c r="E323" s="2">
        <v>34</v>
      </c>
      <c r="F323" s="2">
        <v>0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f>SUM(parking_data_1030[[#This Row],[Résidenti]:[Autres]])</f>
        <v>34</v>
      </c>
      <c r="R323" s="2">
        <v>0</v>
      </c>
      <c r="S323" s="2">
        <v>0</v>
      </c>
      <c r="T323" s="2" t="s">
        <v>43</v>
      </c>
      <c r="U323" s="2" t="s">
        <v>54</v>
      </c>
      <c r="V323" s="2" t="s">
        <v>45</v>
      </c>
      <c r="W323" s="2">
        <v>1</v>
      </c>
      <c r="X323" s="2">
        <v>1</v>
      </c>
      <c r="Y323" s="2">
        <v>0</v>
      </c>
      <c r="Z323" s="2">
        <v>0</v>
      </c>
      <c r="AA323" s="2">
        <v>0</v>
      </c>
      <c r="AB323" s="2"/>
      <c r="AC323" s="2">
        <v>0</v>
      </c>
      <c r="AD323" s="2"/>
      <c r="AE323" s="2" t="s">
        <v>46</v>
      </c>
      <c r="AF323" s="2">
        <v>0</v>
      </c>
      <c r="AG323" s="2">
        <v>0</v>
      </c>
      <c r="AH323" s="2"/>
      <c r="AI323" s="2" t="s">
        <v>43</v>
      </c>
      <c r="AJ323" s="2">
        <v>0</v>
      </c>
      <c r="AK323" s="2">
        <v>0</v>
      </c>
      <c r="AL323" s="2"/>
      <c r="AM323" s="2">
        <v>0</v>
      </c>
      <c r="AN323" s="2">
        <v>0</v>
      </c>
      <c r="AO323" s="2"/>
      <c r="AP323" s="2"/>
      <c r="AQ323" s="2" t="s">
        <v>48</v>
      </c>
      <c r="AR323" s="2" t="s">
        <v>920</v>
      </c>
      <c r="AS323" s="2" t="s">
        <v>921</v>
      </c>
      <c r="AT323" s="2" t="s">
        <v>922</v>
      </c>
      <c r="AU323" s="2" t="s">
        <v>923</v>
      </c>
      <c r="AV323" s="2" t="s">
        <v>835</v>
      </c>
      <c r="AW323" s="2">
        <v>4.3844939825000004</v>
      </c>
      <c r="AX323" s="2">
        <v>50.872925426999998</v>
      </c>
    </row>
    <row r="324" spans="2:50" x14ac:dyDescent="0.25">
      <c r="B324" s="2">
        <v>2</v>
      </c>
      <c r="C324" s="2">
        <v>3000103</v>
      </c>
      <c r="D324" s="2" t="s">
        <v>80</v>
      </c>
      <c r="E324" s="2">
        <v>19</v>
      </c>
      <c r="F324" s="2">
        <v>0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 s="2">
        <v>0</v>
      </c>
      <c r="O324" s="2">
        <v>0</v>
      </c>
      <c r="P324" s="2">
        <v>0</v>
      </c>
      <c r="Q324" s="2">
        <f>SUM(parking_data_1030[[#This Row],[Résidenti]:[Autres]])</f>
        <v>19</v>
      </c>
      <c r="R324" s="2">
        <v>0</v>
      </c>
      <c r="S324" s="2">
        <v>0</v>
      </c>
      <c r="T324" s="2" t="s">
        <v>43</v>
      </c>
      <c r="U324" s="2" t="s">
        <v>44</v>
      </c>
      <c r="V324" s="2" t="s">
        <v>45</v>
      </c>
      <c r="W324" s="2">
        <v>1</v>
      </c>
      <c r="X324" s="2">
        <v>1</v>
      </c>
      <c r="Y324" s="2">
        <v>0</v>
      </c>
      <c r="Z324" s="2">
        <v>0</v>
      </c>
      <c r="AA324" s="2">
        <v>0</v>
      </c>
      <c r="AB324" s="2"/>
      <c r="AC324" s="2">
        <v>0</v>
      </c>
      <c r="AD324" s="2"/>
      <c r="AE324" s="2" t="s">
        <v>52</v>
      </c>
      <c r="AF324" s="2">
        <v>0</v>
      </c>
      <c r="AG324" s="2">
        <v>0</v>
      </c>
      <c r="AH324" s="2" t="s">
        <v>81</v>
      </c>
      <c r="AI324" s="2" t="s">
        <v>43</v>
      </c>
      <c r="AJ324" s="2">
        <v>0</v>
      </c>
      <c r="AK324" s="2">
        <v>0</v>
      </c>
      <c r="AL324" s="2"/>
      <c r="AM324" s="2">
        <v>0</v>
      </c>
      <c r="AN324" s="2">
        <v>0</v>
      </c>
      <c r="AO324" s="2"/>
      <c r="AP324" s="2"/>
      <c r="AQ324" s="2" t="s">
        <v>48</v>
      </c>
      <c r="AR324" s="2" t="s">
        <v>837</v>
      </c>
      <c r="AS324" s="2" t="s">
        <v>838</v>
      </c>
      <c r="AT324" s="2" t="s">
        <v>839</v>
      </c>
      <c r="AU324" s="2" t="s">
        <v>840</v>
      </c>
      <c r="AV324" s="2" t="s">
        <v>835</v>
      </c>
      <c r="AW324" s="2">
        <v>4.3762667500000001</v>
      </c>
      <c r="AX324" s="2">
        <v>50.874599403200001</v>
      </c>
    </row>
    <row r="325" spans="2:50" x14ac:dyDescent="0.25">
      <c r="B325" s="2">
        <v>175</v>
      </c>
      <c r="C325" s="2">
        <v>1167110</v>
      </c>
      <c r="D325" s="2" t="s">
        <v>302</v>
      </c>
      <c r="E325" s="2">
        <v>0</v>
      </c>
      <c r="F325" s="2">
        <v>0</v>
      </c>
      <c r="G325" s="2">
        <v>0</v>
      </c>
      <c r="H325" s="2">
        <v>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f>SUM(parking_data_1030[[#This Row],[Résidenti]:[Autres]])</f>
        <v>0</v>
      </c>
      <c r="R325" s="2">
        <v>0</v>
      </c>
      <c r="S325" s="2">
        <v>0</v>
      </c>
      <c r="T325" s="2" t="s">
        <v>43</v>
      </c>
      <c r="U325" s="2" t="s">
        <v>44</v>
      </c>
      <c r="V325" s="2" t="s">
        <v>45</v>
      </c>
      <c r="W325" s="2">
        <v>0</v>
      </c>
      <c r="X325" s="2">
        <v>0</v>
      </c>
      <c r="Y325" s="2">
        <v>0</v>
      </c>
      <c r="Z325" s="2">
        <v>1</v>
      </c>
      <c r="AA325" s="2">
        <v>0</v>
      </c>
      <c r="AB325" s="2"/>
      <c r="AC325" s="2">
        <v>0</v>
      </c>
      <c r="AD325" s="2"/>
      <c r="AE325" s="2" t="s">
        <v>46</v>
      </c>
      <c r="AF325" s="2">
        <v>0</v>
      </c>
      <c r="AG325" s="2">
        <v>0</v>
      </c>
      <c r="AH325" s="2" t="s">
        <v>303</v>
      </c>
      <c r="AI325" s="2" t="s">
        <v>79</v>
      </c>
      <c r="AJ325" s="2">
        <v>0</v>
      </c>
      <c r="AK325" s="2">
        <v>0</v>
      </c>
      <c r="AL325" s="2"/>
      <c r="AM325" s="2">
        <v>0</v>
      </c>
      <c r="AN325" s="2">
        <v>0</v>
      </c>
      <c r="AO325" s="2"/>
      <c r="AP325" s="2"/>
      <c r="AQ325" s="2" t="s">
        <v>48</v>
      </c>
      <c r="AR325" s="2" t="s">
        <v>1188</v>
      </c>
      <c r="AS325" s="2" t="s">
        <v>1189</v>
      </c>
      <c r="AT325" s="2" t="s">
        <v>1190</v>
      </c>
      <c r="AU325" s="2" t="s">
        <v>1191</v>
      </c>
      <c r="AV325" s="2" t="s">
        <v>1090</v>
      </c>
      <c r="AW325" s="2">
        <v>4.3950253351999997</v>
      </c>
      <c r="AX325" s="2">
        <v>50.845457144500003</v>
      </c>
    </row>
    <row r="326" spans="2:50" x14ac:dyDescent="0.25">
      <c r="B326" s="2">
        <v>176</v>
      </c>
      <c r="C326" s="2">
        <v>1167122</v>
      </c>
      <c r="D326" s="2" t="s">
        <v>805</v>
      </c>
      <c r="E326" s="2">
        <v>34</v>
      </c>
      <c r="F326" s="2">
        <v>0</v>
      </c>
      <c r="G326" s="2">
        <v>0</v>
      </c>
      <c r="H326" s="2">
        <v>0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 s="2">
        <v>0</v>
      </c>
      <c r="O326" s="2">
        <v>0</v>
      </c>
      <c r="P326" s="2">
        <v>0</v>
      </c>
      <c r="Q326" s="2">
        <f>SUM(parking_data_1030[[#This Row],[Résidenti]:[Autres]])</f>
        <v>34</v>
      </c>
      <c r="R326" s="2">
        <v>34</v>
      </c>
      <c r="S326" s="2">
        <v>34</v>
      </c>
      <c r="T326" s="2" t="s">
        <v>43</v>
      </c>
      <c r="U326" s="2" t="s">
        <v>44</v>
      </c>
      <c r="V326" s="2" t="s">
        <v>45</v>
      </c>
      <c r="W326" s="2">
        <v>1</v>
      </c>
      <c r="X326" s="2">
        <v>1</v>
      </c>
      <c r="Y326" s="2">
        <v>0</v>
      </c>
      <c r="Z326" s="2">
        <v>0</v>
      </c>
      <c r="AA326" s="2">
        <v>1</v>
      </c>
      <c r="AB326" s="2"/>
      <c r="AC326" s="2">
        <v>100</v>
      </c>
      <c r="AD326" s="2"/>
      <c r="AE326" s="2" t="s">
        <v>106</v>
      </c>
      <c r="AF326" s="2">
        <v>0</v>
      </c>
      <c r="AG326" s="2">
        <v>0</v>
      </c>
      <c r="AH326" s="2"/>
      <c r="AI326" s="2" t="s">
        <v>43</v>
      </c>
      <c r="AJ326" s="2">
        <v>0</v>
      </c>
      <c r="AK326" s="2">
        <v>0</v>
      </c>
      <c r="AL326" s="2"/>
      <c r="AM326" s="2">
        <v>0</v>
      </c>
      <c r="AN326" s="2">
        <v>0</v>
      </c>
      <c r="AO326" s="2"/>
      <c r="AP326" s="2"/>
      <c r="AQ326" s="2" t="s">
        <v>48</v>
      </c>
      <c r="AR326" s="2" t="s">
        <v>1192</v>
      </c>
      <c r="AS326" s="2" t="s">
        <v>1189</v>
      </c>
      <c r="AT326" s="2" t="s">
        <v>1190</v>
      </c>
      <c r="AU326" s="2" t="s">
        <v>1191</v>
      </c>
      <c r="AV326" s="2" t="s">
        <v>1090</v>
      </c>
      <c r="AW326" s="2">
        <v>4.3947134943000004</v>
      </c>
      <c r="AX326" s="2">
        <v>50.845749767299999</v>
      </c>
    </row>
    <row r="327" spans="2:50" x14ac:dyDescent="0.25">
      <c r="B327" s="2">
        <v>177</v>
      </c>
      <c r="C327" s="2">
        <v>1167126</v>
      </c>
      <c r="D327" s="2" t="s">
        <v>278</v>
      </c>
      <c r="E327" s="2">
        <v>13</v>
      </c>
      <c r="F327" s="2">
        <v>0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f>SUM(parking_data_1030[[#This Row],[Résidenti]:[Autres]])</f>
        <v>13</v>
      </c>
      <c r="R327" s="2">
        <v>0</v>
      </c>
      <c r="S327" s="2">
        <v>0</v>
      </c>
      <c r="T327" s="2" t="s">
        <v>43</v>
      </c>
      <c r="U327" s="2" t="s">
        <v>54</v>
      </c>
      <c r="V327" s="2" t="s">
        <v>45</v>
      </c>
      <c r="W327" s="2">
        <v>1</v>
      </c>
      <c r="X327" s="2">
        <v>1</v>
      </c>
      <c r="Y327" s="2">
        <v>0</v>
      </c>
      <c r="Z327" s="2">
        <v>0</v>
      </c>
      <c r="AA327" s="2">
        <v>0</v>
      </c>
      <c r="AB327" s="2"/>
      <c r="AC327" s="2">
        <v>0</v>
      </c>
      <c r="AD327" s="2"/>
      <c r="AE327" s="2" t="s">
        <v>106</v>
      </c>
      <c r="AF327" s="2">
        <v>0</v>
      </c>
      <c r="AG327" s="2">
        <v>0</v>
      </c>
      <c r="AH327" s="2"/>
      <c r="AI327" s="2" t="s">
        <v>43</v>
      </c>
      <c r="AJ327" s="2">
        <v>0</v>
      </c>
      <c r="AK327" s="2">
        <v>0</v>
      </c>
      <c r="AL327" s="2"/>
      <c r="AM327" s="2">
        <v>0</v>
      </c>
      <c r="AN327" s="2">
        <v>0</v>
      </c>
      <c r="AO327" s="2"/>
      <c r="AP327" s="2"/>
      <c r="AQ327" s="2" t="s">
        <v>48</v>
      </c>
      <c r="AR327" s="2" t="s">
        <v>1193</v>
      </c>
      <c r="AS327" s="2" t="s">
        <v>1189</v>
      </c>
      <c r="AT327" s="2" t="s">
        <v>1190</v>
      </c>
      <c r="AU327" s="2" t="s">
        <v>1191</v>
      </c>
      <c r="AV327" s="2" t="s">
        <v>1090</v>
      </c>
      <c r="AW327" s="2">
        <v>4.3946227783999996</v>
      </c>
      <c r="AX327" s="2">
        <v>50.845966076000003</v>
      </c>
    </row>
    <row r="328" spans="2:50" x14ac:dyDescent="0.25">
      <c r="B328" s="2">
        <v>240</v>
      </c>
      <c r="C328" s="2">
        <v>2187987</v>
      </c>
      <c r="D328" s="2" t="s">
        <v>185</v>
      </c>
      <c r="E328" s="2">
        <v>13</v>
      </c>
      <c r="F328" s="2">
        <v>0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  <c r="Q328" s="2">
        <f>SUM(parking_data_1030[[#This Row],[Résidenti]:[Autres]])</f>
        <v>13</v>
      </c>
      <c r="R328" s="2">
        <v>0</v>
      </c>
      <c r="S328" s="2">
        <v>0</v>
      </c>
      <c r="T328" s="2" t="s">
        <v>43</v>
      </c>
      <c r="U328" s="2" t="s">
        <v>76</v>
      </c>
      <c r="V328" s="2" t="s">
        <v>45</v>
      </c>
      <c r="W328" s="2">
        <v>1</v>
      </c>
      <c r="X328" s="2">
        <v>0</v>
      </c>
      <c r="Y328" s="2">
        <v>0</v>
      </c>
      <c r="Z328" s="2">
        <v>0</v>
      </c>
      <c r="AA328" s="2">
        <v>0</v>
      </c>
      <c r="AB328" s="2"/>
      <c r="AC328" s="2">
        <v>0</v>
      </c>
      <c r="AD328" s="2"/>
      <c r="AE328" s="2" t="s">
        <v>106</v>
      </c>
      <c r="AF328" s="2">
        <v>0</v>
      </c>
      <c r="AG328" s="2">
        <v>0</v>
      </c>
      <c r="AH328" s="2" t="s">
        <v>186</v>
      </c>
      <c r="AI328" s="2" t="s">
        <v>43</v>
      </c>
      <c r="AJ328" s="2">
        <v>0</v>
      </c>
      <c r="AK328" s="2">
        <v>0</v>
      </c>
      <c r="AL328" s="2"/>
      <c r="AM328" s="2">
        <v>0</v>
      </c>
      <c r="AN328" s="2">
        <v>0</v>
      </c>
      <c r="AO328" s="2"/>
      <c r="AP328" s="2"/>
      <c r="AQ328" s="2" t="s">
        <v>48</v>
      </c>
      <c r="AR328" s="2" t="s">
        <v>1277</v>
      </c>
      <c r="AS328" s="2" t="s">
        <v>1189</v>
      </c>
      <c r="AT328" s="2" t="s">
        <v>1190</v>
      </c>
      <c r="AU328" s="2" t="s">
        <v>1278</v>
      </c>
      <c r="AV328" s="2" t="s">
        <v>1142</v>
      </c>
      <c r="AW328" s="2">
        <v>4.3909187973000003</v>
      </c>
      <c r="AX328" s="2">
        <v>50.8485315032</v>
      </c>
    </row>
    <row r="329" spans="2:50" x14ac:dyDescent="0.25">
      <c r="B329" s="2">
        <v>256</v>
      </c>
      <c r="C329" s="2">
        <v>2154338</v>
      </c>
      <c r="D329" s="2" t="s">
        <v>467</v>
      </c>
      <c r="E329" s="2">
        <v>18</v>
      </c>
      <c r="F329" s="2">
        <v>0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f>SUM(parking_data_1030[[#This Row],[Résidenti]:[Autres]])</f>
        <v>18</v>
      </c>
      <c r="R329" s="2">
        <v>0</v>
      </c>
      <c r="S329" s="2">
        <v>0</v>
      </c>
      <c r="T329" s="2" t="s">
        <v>43</v>
      </c>
      <c r="U329" s="2" t="s">
        <v>54</v>
      </c>
      <c r="V329" s="2" t="s">
        <v>45</v>
      </c>
      <c r="W329" s="2">
        <v>1</v>
      </c>
      <c r="X329" s="2">
        <v>1</v>
      </c>
      <c r="Y329" s="2">
        <v>0</v>
      </c>
      <c r="Z329" s="2">
        <v>0</v>
      </c>
      <c r="AA329" s="2">
        <v>0</v>
      </c>
      <c r="AB329" s="2"/>
      <c r="AC329" s="2">
        <v>0</v>
      </c>
      <c r="AD329" s="2"/>
      <c r="AE329" s="2" t="s">
        <v>106</v>
      </c>
      <c r="AF329" s="2">
        <v>0</v>
      </c>
      <c r="AG329" s="2">
        <v>0</v>
      </c>
      <c r="AH329" s="2"/>
      <c r="AI329" s="2" t="s">
        <v>43</v>
      </c>
      <c r="AJ329" s="2">
        <v>0</v>
      </c>
      <c r="AK329" s="2">
        <v>0</v>
      </c>
      <c r="AL329" s="2"/>
      <c r="AM329" s="2">
        <v>0</v>
      </c>
      <c r="AN329" s="2">
        <v>0</v>
      </c>
      <c r="AO329" s="2"/>
      <c r="AP329" s="2"/>
      <c r="AQ329" s="2" t="s">
        <v>48</v>
      </c>
      <c r="AR329" s="2" t="s">
        <v>1034</v>
      </c>
      <c r="AS329" s="2" t="s">
        <v>1189</v>
      </c>
      <c r="AT329" s="2" t="s">
        <v>1190</v>
      </c>
      <c r="AU329" s="2" t="s">
        <v>1299</v>
      </c>
      <c r="AV329" s="2" t="s">
        <v>1142</v>
      </c>
      <c r="AW329" s="2">
        <v>4.3872837520000001</v>
      </c>
      <c r="AX329" s="2">
        <v>50.8507479648</v>
      </c>
    </row>
    <row r="330" spans="2:50" x14ac:dyDescent="0.25">
      <c r="B330" s="2">
        <v>257</v>
      </c>
      <c r="C330" s="2">
        <v>2154378</v>
      </c>
      <c r="D330" s="2" t="s">
        <v>468</v>
      </c>
      <c r="E330" s="2">
        <v>34</v>
      </c>
      <c r="F330" s="2">
        <v>0</v>
      </c>
      <c r="G330" s="2">
        <v>0</v>
      </c>
      <c r="H330" s="2">
        <v>0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 s="2">
        <v>0</v>
      </c>
      <c r="O330" s="2">
        <v>0</v>
      </c>
      <c r="P330" s="2">
        <v>0</v>
      </c>
      <c r="Q330" s="2">
        <f>SUM(parking_data_1030[[#This Row],[Résidenti]:[Autres]])</f>
        <v>34</v>
      </c>
      <c r="R330" s="2">
        <v>0</v>
      </c>
      <c r="S330" s="2">
        <v>0</v>
      </c>
      <c r="T330" s="2" t="s">
        <v>43</v>
      </c>
      <c r="U330" s="2" t="s">
        <v>44</v>
      </c>
      <c r="V330" s="2" t="s">
        <v>45</v>
      </c>
      <c r="W330" s="2">
        <v>1</v>
      </c>
      <c r="X330" s="2">
        <v>1</v>
      </c>
      <c r="Y330" s="2">
        <v>0</v>
      </c>
      <c r="Z330" s="2">
        <v>0</v>
      </c>
      <c r="AA330" s="2">
        <v>0</v>
      </c>
      <c r="AB330" s="2"/>
      <c r="AC330" s="2">
        <v>0</v>
      </c>
      <c r="AD330" s="2"/>
      <c r="AE330" s="2" t="s">
        <v>106</v>
      </c>
      <c r="AF330" s="2">
        <v>0</v>
      </c>
      <c r="AG330" s="2">
        <v>0</v>
      </c>
      <c r="AH330" s="2" t="s">
        <v>469</v>
      </c>
      <c r="AI330" s="2" t="s">
        <v>43</v>
      </c>
      <c r="AJ330" s="2">
        <v>0</v>
      </c>
      <c r="AK330" s="2">
        <v>0</v>
      </c>
      <c r="AL330" s="2"/>
      <c r="AM330" s="2">
        <v>0</v>
      </c>
      <c r="AN330" s="2">
        <v>0</v>
      </c>
      <c r="AO330" s="2"/>
      <c r="AP330" s="2"/>
      <c r="AQ330" s="2" t="s">
        <v>48</v>
      </c>
      <c r="AR330" s="2" t="s">
        <v>1017</v>
      </c>
      <c r="AS330" s="2" t="s">
        <v>1189</v>
      </c>
      <c r="AT330" s="2" t="s">
        <v>1190</v>
      </c>
      <c r="AU330" s="2" t="s">
        <v>1299</v>
      </c>
      <c r="AV330" s="2" t="s">
        <v>1142</v>
      </c>
      <c r="AW330" s="2">
        <v>4.3883342617999999</v>
      </c>
      <c r="AX330" s="2">
        <v>50.8501314986</v>
      </c>
    </row>
    <row r="331" spans="2:50" x14ac:dyDescent="0.25">
      <c r="B331" s="2">
        <v>258</v>
      </c>
      <c r="C331" s="2">
        <v>2154364</v>
      </c>
      <c r="D331" s="2" t="s">
        <v>470</v>
      </c>
      <c r="E331" s="2">
        <v>12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f>SUM(parking_data_1030[[#This Row],[Résidenti]:[Autres]])</f>
        <v>12</v>
      </c>
      <c r="R331" s="2">
        <v>0</v>
      </c>
      <c r="S331" s="2">
        <v>0</v>
      </c>
      <c r="T331" s="2" t="s">
        <v>43</v>
      </c>
      <c r="U331" s="2" t="s">
        <v>76</v>
      </c>
      <c r="V331" s="2" t="s">
        <v>45</v>
      </c>
      <c r="W331" s="2">
        <v>0</v>
      </c>
      <c r="X331" s="2">
        <v>1</v>
      </c>
      <c r="Y331" s="2">
        <v>0</v>
      </c>
      <c r="Z331" s="2">
        <v>1</v>
      </c>
      <c r="AA331" s="2">
        <v>0</v>
      </c>
      <c r="AB331" s="2"/>
      <c r="AC331" s="2">
        <v>0</v>
      </c>
      <c r="AD331" s="2"/>
      <c r="AE331" s="2" t="s">
        <v>106</v>
      </c>
      <c r="AF331" s="2">
        <v>0</v>
      </c>
      <c r="AG331" s="2">
        <v>0</v>
      </c>
      <c r="AH331" s="2" t="s">
        <v>120</v>
      </c>
      <c r="AI331" s="2" t="s">
        <v>43</v>
      </c>
      <c r="AJ331" s="2">
        <v>0</v>
      </c>
      <c r="AK331" s="2">
        <v>0</v>
      </c>
      <c r="AL331" s="2"/>
      <c r="AM331" s="2">
        <v>0</v>
      </c>
      <c r="AN331" s="2">
        <v>0</v>
      </c>
      <c r="AO331" s="2"/>
      <c r="AP331" s="2"/>
      <c r="AQ331" s="2" t="s">
        <v>48</v>
      </c>
      <c r="AR331" s="2" t="s">
        <v>1266</v>
      </c>
      <c r="AS331" s="2" t="s">
        <v>1189</v>
      </c>
      <c r="AT331" s="2" t="s">
        <v>1190</v>
      </c>
      <c r="AU331" s="2" t="s">
        <v>1299</v>
      </c>
      <c r="AV331" s="2" t="s">
        <v>1142</v>
      </c>
      <c r="AW331" s="2">
        <v>4.3888454009000002</v>
      </c>
      <c r="AX331" s="2">
        <v>50.849812790199998</v>
      </c>
    </row>
    <row r="332" spans="2:50" x14ac:dyDescent="0.25">
      <c r="B332" s="2">
        <v>173</v>
      </c>
      <c r="C332" s="2">
        <v>1167405</v>
      </c>
      <c r="D332" s="2" t="s">
        <v>299</v>
      </c>
      <c r="E332" s="2">
        <v>0</v>
      </c>
      <c r="F332" s="2">
        <v>0</v>
      </c>
      <c r="G332" s="2">
        <v>0</v>
      </c>
      <c r="H332" s="2">
        <v>21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f>SUM(parking_data_1030[[#This Row],[Résidenti]:[Autres]])</f>
        <v>21</v>
      </c>
      <c r="R332" s="2">
        <v>0</v>
      </c>
      <c r="S332" s="2">
        <v>0</v>
      </c>
      <c r="T332" s="2" t="s">
        <v>43</v>
      </c>
      <c r="U332" s="2" t="s">
        <v>44</v>
      </c>
      <c r="V332" s="2" t="s">
        <v>45</v>
      </c>
      <c r="W332" s="2">
        <v>1</v>
      </c>
      <c r="X332" s="2">
        <v>1</v>
      </c>
      <c r="Y332" s="2">
        <v>0</v>
      </c>
      <c r="Z332" s="2">
        <v>0</v>
      </c>
      <c r="AA332" s="2">
        <v>0</v>
      </c>
      <c r="AB332" s="2" t="s">
        <v>60</v>
      </c>
      <c r="AC332" s="2">
        <v>0</v>
      </c>
      <c r="AD332" s="3">
        <v>48401</v>
      </c>
      <c r="AE332" s="2" t="s">
        <v>46</v>
      </c>
      <c r="AF332" s="2">
        <v>1200</v>
      </c>
      <c r="AG332" s="2">
        <v>12</v>
      </c>
      <c r="AH332" s="2"/>
      <c r="AI332" s="2" t="s">
        <v>43</v>
      </c>
      <c r="AJ332" s="2">
        <v>-9</v>
      </c>
      <c r="AK332" s="2">
        <v>21</v>
      </c>
      <c r="AL332" s="2"/>
      <c r="AM332" s="2">
        <v>0</v>
      </c>
      <c r="AN332" s="2">
        <v>0</v>
      </c>
      <c r="AO332" s="2"/>
      <c r="AP332" s="2"/>
      <c r="AQ332" s="2" t="s">
        <v>48</v>
      </c>
      <c r="AR332" s="2" t="s">
        <v>916</v>
      </c>
      <c r="AS332" s="2" t="s">
        <v>1150</v>
      </c>
      <c r="AT332" s="2" t="s">
        <v>1151</v>
      </c>
      <c r="AU332" s="2" t="s">
        <v>1152</v>
      </c>
      <c r="AV332" s="2" t="s">
        <v>1090</v>
      </c>
      <c r="AW332" s="2">
        <v>4.3970603857999997</v>
      </c>
      <c r="AX332" s="2">
        <v>50.844010154199999</v>
      </c>
    </row>
    <row r="333" spans="2:50" x14ac:dyDescent="0.25">
      <c r="B333" s="2">
        <v>196</v>
      </c>
      <c r="C333" s="2">
        <v>2159061</v>
      </c>
      <c r="D333" s="2" t="s">
        <v>174</v>
      </c>
      <c r="E333" s="2">
        <v>27</v>
      </c>
      <c r="F333" s="2">
        <v>0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f>SUM(parking_data_1030[[#This Row],[Résidenti]:[Autres]])</f>
        <v>27</v>
      </c>
      <c r="R333" s="2">
        <v>0</v>
      </c>
      <c r="S333" s="2">
        <v>0</v>
      </c>
      <c r="T333" s="2" t="s">
        <v>43</v>
      </c>
      <c r="U333" s="2" t="s">
        <v>54</v>
      </c>
      <c r="V333" s="2" t="s">
        <v>45</v>
      </c>
      <c r="W333" s="2">
        <v>1</v>
      </c>
      <c r="X333" s="2">
        <v>1</v>
      </c>
      <c r="Y333" s="2">
        <v>0</v>
      </c>
      <c r="Z333" s="2">
        <v>0</v>
      </c>
      <c r="AA333" s="2">
        <v>0</v>
      </c>
      <c r="AB333" s="2"/>
      <c r="AC333" s="2">
        <v>0</v>
      </c>
      <c r="AD333" s="2"/>
      <c r="AE333" s="2" t="s">
        <v>46</v>
      </c>
      <c r="AF333" s="2">
        <v>0</v>
      </c>
      <c r="AG333" s="2">
        <v>0</v>
      </c>
      <c r="AH333" s="2"/>
      <c r="AI333" s="2" t="s">
        <v>43</v>
      </c>
      <c r="AJ333" s="2">
        <v>0</v>
      </c>
      <c r="AK333" s="2">
        <v>0</v>
      </c>
      <c r="AL333" s="2"/>
      <c r="AM333" s="2">
        <v>0</v>
      </c>
      <c r="AN333" s="2">
        <v>0</v>
      </c>
      <c r="AO333" s="2"/>
      <c r="AP333" s="2"/>
      <c r="AQ333" s="2" t="s">
        <v>48</v>
      </c>
      <c r="AR333" s="2" t="s">
        <v>1219</v>
      </c>
      <c r="AS333" s="2" t="s">
        <v>1220</v>
      </c>
      <c r="AT333" s="2" t="s">
        <v>1221</v>
      </c>
      <c r="AU333" s="2" t="s">
        <v>1215</v>
      </c>
      <c r="AV333" s="2" t="s">
        <v>1142</v>
      </c>
      <c r="AW333" s="2">
        <v>4.3999665024999999</v>
      </c>
      <c r="AX333" s="2">
        <v>50.850419277199997</v>
      </c>
    </row>
    <row r="334" spans="2:50" x14ac:dyDescent="0.25">
      <c r="B334" s="2">
        <v>207</v>
      </c>
      <c r="C334" s="2">
        <v>3000337</v>
      </c>
      <c r="D334" s="2" t="s">
        <v>169</v>
      </c>
      <c r="E334" s="2">
        <v>10</v>
      </c>
      <c r="F334" s="2">
        <v>0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f>SUM(parking_data_1030[[#This Row],[Résidenti]:[Autres]])</f>
        <v>10</v>
      </c>
      <c r="R334" s="2">
        <v>0</v>
      </c>
      <c r="S334" s="2">
        <v>0</v>
      </c>
      <c r="T334" s="2" t="s">
        <v>43</v>
      </c>
      <c r="U334" s="2" t="s">
        <v>76</v>
      </c>
      <c r="V334" s="2" t="s">
        <v>45</v>
      </c>
      <c r="W334" s="2">
        <v>1</v>
      </c>
      <c r="X334" s="2">
        <v>1</v>
      </c>
      <c r="Y334" s="2">
        <v>0</v>
      </c>
      <c r="Z334" s="2">
        <v>0</v>
      </c>
      <c r="AA334" s="2">
        <v>0</v>
      </c>
      <c r="AB334" s="2"/>
      <c r="AC334" s="2">
        <v>0</v>
      </c>
      <c r="AD334" s="2"/>
      <c r="AE334" s="2" t="s">
        <v>106</v>
      </c>
      <c r="AF334" s="2">
        <v>0</v>
      </c>
      <c r="AG334" s="2">
        <v>0</v>
      </c>
      <c r="AH334" s="2"/>
      <c r="AI334" s="2" t="s">
        <v>43</v>
      </c>
      <c r="AJ334" s="2">
        <v>0</v>
      </c>
      <c r="AK334" s="2">
        <v>0</v>
      </c>
      <c r="AL334" s="2"/>
      <c r="AM334" s="2">
        <v>0</v>
      </c>
      <c r="AN334" s="2">
        <v>0</v>
      </c>
      <c r="AO334" s="2"/>
      <c r="AP334" s="2"/>
      <c r="AQ334" s="2" t="s">
        <v>48</v>
      </c>
      <c r="AR334" s="2" t="s">
        <v>1045</v>
      </c>
      <c r="AS334" s="2" t="s">
        <v>1220</v>
      </c>
      <c r="AT334" s="2" t="s">
        <v>1221</v>
      </c>
      <c r="AU334" s="2" t="s">
        <v>1231</v>
      </c>
      <c r="AV334" s="2" t="s">
        <v>1142</v>
      </c>
      <c r="AW334" s="2">
        <v>4.3964272867999998</v>
      </c>
      <c r="AX334" s="2">
        <v>50.848560484899998</v>
      </c>
    </row>
    <row r="335" spans="2:50" x14ac:dyDescent="0.25">
      <c r="B335" s="2">
        <v>212</v>
      </c>
      <c r="C335" s="2">
        <v>2158726</v>
      </c>
      <c r="D335" s="2" t="s">
        <v>156</v>
      </c>
      <c r="E335" s="2">
        <v>14</v>
      </c>
      <c r="F335" s="2">
        <v>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f>SUM(parking_data_1030[[#This Row],[Résidenti]:[Autres]])</f>
        <v>14</v>
      </c>
      <c r="R335" s="2">
        <v>0</v>
      </c>
      <c r="S335" s="2">
        <v>0</v>
      </c>
      <c r="T335" s="2" t="s">
        <v>43</v>
      </c>
      <c r="U335" s="2" t="s">
        <v>54</v>
      </c>
      <c r="V335" s="2" t="s">
        <v>59</v>
      </c>
      <c r="W335" s="2">
        <v>1</v>
      </c>
      <c r="X335" s="2">
        <v>1</v>
      </c>
      <c r="Y335" s="2">
        <v>0</v>
      </c>
      <c r="Z335" s="2">
        <v>0</v>
      </c>
      <c r="AA335" s="2">
        <v>0</v>
      </c>
      <c r="AB335" s="2"/>
      <c r="AC335" s="2">
        <v>0</v>
      </c>
      <c r="AD335" s="2"/>
      <c r="AE335" s="2" t="s">
        <v>46</v>
      </c>
      <c r="AF335" s="2">
        <v>0</v>
      </c>
      <c r="AG335" s="2">
        <v>0</v>
      </c>
      <c r="AH335" s="2"/>
      <c r="AI335" s="2" t="s">
        <v>43</v>
      </c>
      <c r="AJ335" s="2">
        <v>0</v>
      </c>
      <c r="AK335" s="2">
        <v>0</v>
      </c>
      <c r="AL335" s="2"/>
      <c r="AM335" s="2">
        <v>0</v>
      </c>
      <c r="AN335" s="2">
        <v>0</v>
      </c>
      <c r="AO335" s="2"/>
      <c r="AP335" s="2"/>
      <c r="AQ335" s="2" t="s">
        <v>48</v>
      </c>
      <c r="AR335" s="2" t="s">
        <v>900</v>
      </c>
      <c r="AS335" s="2" t="s">
        <v>1220</v>
      </c>
      <c r="AT335" s="2" t="s">
        <v>1221</v>
      </c>
      <c r="AU335" s="2" t="s">
        <v>1236</v>
      </c>
      <c r="AV335" s="2" t="s">
        <v>1142</v>
      </c>
      <c r="AW335" s="2">
        <v>4.3997071992999999</v>
      </c>
      <c r="AX335" s="2">
        <v>50.850647824799999</v>
      </c>
    </row>
    <row r="336" spans="2:50" x14ac:dyDescent="0.25">
      <c r="B336" s="2">
        <v>213</v>
      </c>
      <c r="C336" s="2">
        <v>2158716</v>
      </c>
      <c r="D336" s="2" t="s">
        <v>157</v>
      </c>
      <c r="E336" s="2">
        <v>19</v>
      </c>
      <c r="F336" s="2">
        <v>0</v>
      </c>
      <c r="G336" s="2">
        <v>0</v>
      </c>
      <c r="H336" s="2">
        <v>0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 s="2">
        <v>0</v>
      </c>
      <c r="O336" s="2">
        <v>0</v>
      </c>
      <c r="P336" s="2">
        <v>0</v>
      </c>
      <c r="Q336" s="2">
        <f>SUM(parking_data_1030[[#This Row],[Résidenti]:[Autres]])</f>
        <v>19</v>
      </c>
      <c r="R336" s="2">
        <v>0</v>
      </c>
      <c r="S336" s="2">
        <v>0</v>
      </c>
      <c r="T336" s="2" t="s">
        <v>43</v>
      </c>
      <c r="U336" s="2" t="s">
        <v>54</v>
      </c>
      <c r="V336" s="2" t="s">
        <v>59</v>
      </c>
      <c r="W336" s="2">
        <v>1</v>
      </c>
      <c r="X336" s="2">
        <v>1</v>
      </c>
      <c r="Y336" s="2">
        <v>0</v>
      </c>
      <c r="Z336" s="2">
        <v>0</v>
      </c>
      <c r="AA336" s="2">
        <v>0</v>
      </c>
      <c r="AB336" s="2"/>
      <c r="AC336" s="2">
        <v>0</v>
      </c>
      <c r="AD336" s="2"/>
      <c r="AE336" s="2" t="s">
        <v>46</v>
      </c>
      <c r="AF336" s="2">
        <v>0</v>
      </c>
      <c r="AG336" s="2">
        <v>0</v>
      </c>
      <c r="AH336" s="2"/>
      <c r="AI336" s="2" t="s">
        <v>43</v>
      </c>
      <c r="AJ336" s="2">
        <v>0</v>
      </c>
      <c r="AK336" s="2">
        <v>0</v>
      </c>
      <c r="AL336" s="2"/>
      <c r="AM336" s="2">
        <v>0</v>
      </c>
      <c r="AN336" s="2">
        <v>0</v>
      </c>
      <c r="AO336" s="2"/>
      <c r="AP336" s="2"/>
      <c r="AQ336" s="2" t="s">
        <v>48</v>
      </c>
      <c r="AR336" s="2" t="s">
        <v>1164</v>
      </c>
      <c r="AS336" s="2" t="s">
        <v>1220</v>
      </c>
      <c r="AT336" s="2" t="s">
        <v>1221</v>
      </c>
      <c r="AU336" s="2" t="s">
        <v>1236</v>
      </c>
      <c r="AV336" s="2" t="s">
        <v>1142</v>
      </c>
      <c r="AW336" s="2">
        <v>4.4003157484999997</v>
      </c>
      <c r="AX336" s="2">
        <v>50.851036477100003</v>
      </c>
    </row>
    <row r="337" spans="2:50" x14ac:dyDescent="0.25">
      <c r="B337" s="2">
        <v>369</v>
      </c>
      <c r="C337" s="2">
        <v>10005271</v>
      </c>
      <c r="D337" s="2" t="s">
        <v>423</v>
      </c>
      <c r="E337" s="2">
        <v>8</v>
      </c>
      <c r="F337" s="2">
        <v>0</v>
      </c>
      <c r="G337" s="2">
        <v>0</v>
      </c>
      <c r="H337" s="2">
        <v>120</v>
      </c>
      <c r="I337" s="2">
        <v>0</v>
      </c>
      <c r="J337" s="2">
        <v>20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f>SUM(parking_data_1030[[#This Row],[Résidenti]:[Autres]])</f>
        <v>148</v>
      </c>
      <c r="R337" s="2">
        <v>0</v>
      </c>
      <c r="S337" s="2">
        <v>0</v>
      </c>
      <c r="T337" s="2" t="s">
        <v>43</v>
      </c>
      <c r="U337" s="2" t="s">
        <v>76</v>
      </c>
      <c r="V337" s="2" t="s">
        <v>59</v>
      </c>
      <c r="W337" s="2">
        <v>1</v>
      </c>
      <c r="X337" s="2">
        <v>1</v>
      </c>
      <c r="Y337" s="2">
        <v>1</v>
      </c>
      <c r="Z337" s="2">
        <v>0</v>
      </c>
      <c r="AA337" s="2">
        <v>1</v>
      </c>
      <c r="AB337" s="2" t="s">
        <v>424</v>
      </c>
      <c r="AC337" s="2">
        <v>0</v>
      </c>
      <c r="AD337" s="2"/>
      <c r="AE337" s="2" t="s">
        <v>46</v>
      </c>
      <c r="AF337" s="2">
        <v>30303</v>
      </c>
      <c r="AG337" s="2">
        <v>304</v>
      </c>
      <c r="AH337" s="2" t="s">
        <v>425</v>
      </c>
      <c r="AI337" s="2" t="s">
        <v>43</v>
      </c>
      <c r="AJ337" s="2">
        <v>184</v>
      </c>
      <c r="AK337" s="2">
        <v>140</v>
      </c>
      <c r="AL337" s="2" t="s">
        <v>280</v>
      </c>
      <c r="AM337" s="2">
        <v>0</v>
      </c>
      <c r="AN337" s="2">
        <v>1</v>
      </c>
      <c r="AO337" s="2"/>
      <c r="AP337" s="2" t="s">
        <v>426</v>
      </c>
      <c r="AQ337" s="2" t="s">
        <v>70</v>
      </c>
      <c r="AR337" s="2" t="s">
        <v>977</v>
      </c>
      <c r="AS337" s="2" t="s">
        <v>1472</v>
      </c>
      <c r="AT337" s="2" t="s">
        <v>1473</v>
      </c>
      <c r="AU337" s="2" t="s">
        <v>1470</v>
      </c>
      <c r="AV337" s="2" t="s">
        <v>897</v>
      </c>
      <c r="AW337" s="2">
        <v>4.3675306544000003</v>
      </c>
      <c r="AX337" s="2">
        <v>50.860548080800001</v>
      </c>
    </row>
    <row r="338" spans="2:50" x14ac:dyDescent="0.25">
      <c r="B338" s="2">
        <v>370</v>
      </c>
      <c r="C338" s="2">
        <v>2147289</v>
      </c>
      <c r="D338" s="2" t="s">
        <v>383</v>
      </c>
      <c r="E338" s="2">
        <v>0</v>
      </c>
      <c r="F338" s="2">
        <v>0</v>
      </c>
      <c r="G338" s="2">
        <v>0</v>
      </c>
      <c r="H338" s="2">
        <v>0</v>
      </c>
      <c r="I338" s="2">
        <v>0</v>
      </c>
      <c r="J338" s="2">
        <v>0</v>
      </c>
      <c r="K338" s="2">
        <v>16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f>SUM(parking_data_1030[[#This Row],[Résidenti]:[Autres]])</f>
        <v>16</v>
      </c>
      <c r="R338" s="2">
        <v>0</v>
      </c>
      <c r="S338" s="2">
        <v>0</v>
      </c>
      <c r="T338" s="2" t="s">
        <v>43</v>
      </c>
      <c r="U338" s="2" t="s">
        <v>76</v>
      </c>
      <c r="V338" s="2" t="s">
        <v>59</v>
      </c>
      <c r="W338" s="2">
        <v>1</v>
      </c>
      <c r="X338" s="2">
        <v>1</v>
      </c>
      <c r="Y338" s="2">
        <v>0</v>
      </c>
      <c r="Z338" s="2">
        <v>0</v>
      </c>
      <c r="AA338" s="2">
        <v>1</v>
      </c>
      <c r="AB338" s="2"/>
      <c r="AC338" s="2">
        <v>0</v>
      </c>
      <c r="AD338" s="2"/>
      <c r="AE338" s="2" t="s">
        <v>46</v>
      </c>
      <c r="AF338" s="2">
        <v>0</v>
      </c>
      <c r="AG338" s="2">
        <v>0</v>
      </c>
      <c r="AH338" s="2"/>
      <c r="AI338" s="2" t="s">
        <v>43</v>
      </c>
      <c r="AJ338" s="2">
        <v>0</v>
      </c>
      <c r="AK338" s="2">
        <v>16</v>
      </c>
      <c r="AL338" s="2"/>
      <c r="AM338" s="2">
        <v>0</v>
      </c>
      <c r="AN338" s="2">
        <v>1</v>
      </c>
      <c r="AO338" s="2"/>
      <c r="AP338" s="2" t="s">
        <v>384</v>
      </c>
      <c r="AQ338" s="2" t="s">
        <v>70</v>
      </c>
      <c r="AR338" s="2" t="s">
        <v>865</v>
      </c>
      <c r="AS338" s="2" t="s">
        <v>1472</v>
      </c>
      <c r="AT338" s="2" t="s">
        <v>1473</v>
      </c>
      <c r="AU338" s="2" t="s">
        <v>1470</v>
      </c>
      <c r="AV338" s="2" t="s">
        <v>897</v>
      </c>
      <c r="AW338" s="2">
        <v>4.3665336927</v>
      </c>
      <c r="AX338" s="2">
        <v>50.861444240899999</v>
      </c>
    </row>
    <row r="339" spans="2:50" x14ac:dyDescent="0.25">
      <c r="B339" s="2">
        <v>373</v>
      </c>
      <c r="C339" s="2">
        <v>2145188</v>
      </c>
      <c r="D339" s="2" t="s">
        <v>393</v>
      </c>
      <c r="E339" s="2">
        <v>99</v>
      </c>
      <c r="F339" s="2">
        <v>0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f>SUM(parking_data_1030[[#This Row],[Résidenti]:[Autres]])</f>
        <v>99</v>
      </c>
      <c r="R339" s="2">
        <v>0</v>
      </c>
      <c r="S339" s="2">
        <v>0</v>
      </c>
      <c r="T339" s="2" t="s">
        <v>43</v>
      </c>
      <c r="U339" s="2" t="s">
        <v>76</v>
      </c>
      <c r="V339" s="2" t="s">
        <v>45</v>
      </c>
      <c r="W339" s="2">
        <v>1</v>
      </c>
      <c r="X339" s="2">
        <v>1</v>
      </c>
      <c r="Y339" s="2">
        <v>0</v>
      </c>
      <c r="Z339" s="2">
        <v>0</v>
      </c>
      <c r="AA339" s="2">
        <v>0</v>
      </c>
      <c r="AB339" s="2"/>
      <c r="AC339" s="2">
        <v>0</v>
      </c>
      <c r="AD339" s="2"/>
      <c r="AE339" s="2" t="s">
        <v>46</v>
      </c>
      <c r="AF339" s="2">
        <v>0</v>
      </c>
      <c r="AG339" s="2">
        <v>0</v>
      </c>
      <c r="AH339" s="2" t="s">
        <v>394</v>
      </c>
      <c r="AI339" s="2" t="s">
        <v>43</v>
      </c>
      <c r="AJ339" s="2">
        <v>0</v>
      </c>
      <c r="AK339" s="2">
        <v>0</v>
      </c>
      <c r="AL339" s="2"/>
      <c r="AM339" s="2">
        <v>0</v>
      </c>
      <c r="AN339" s="2">
        <v>0</v>
      </c>
      <c r="AO339" s="2"/>
      <c r="AP339" s="2"/>
      <c r="AQ339" s="2" t="s">
        <v>48</v>
      </c>
      <c r="AR339" s="2" t="s">
        <v>841</v>
      </c>
      <c r="AS339" s="2" t="s">
        <v>1472</v>
      </c>
      <c r="AT339" s="2" t="s">
        <v>1473</v>
      </c>
      <c r="AU339" s="2" t="s">
        <v>1475</v>
      </c>
      <c r="AV339" s="2" t="s">
        <v>897</v>
      </c>
      <c r="AW339" s="2">
        <v>4.3679476505999997</v>
      </c>
      <c r="AX339" s="2">
        <v>50.860748251700002</v>
      </c>
    </row>
    <row r="340" spans="2:50" x14ac:dyDescent="0.25">
      <c r="B340" s="2">
        <v>379</v>
      </c>
      <c r="C340" s="2">
        <v>2147432</v>
      </c>
      <c r="D340" s="2" t="s">
        <v>367</v>
      </c>
      <c r="E340" s="2">
        <v>13</v>
      </c>
      <c r="F340" s="2">
        <v>0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f>SUM(parking_data_1030[[#This Row],[Résidenti]:[Autres]])</f>
        <v>13</v>
      </c>
      <c r="R340" s="2">
        <v>0</v>
      </c>
      <c r="S340" s="2">
        <v>0</v>
      </c>
      <c r="T340" s="2" t="s">
        <v>43</v>
      </c>
      <c r="U340" s="2" t="s">
        <v>44</v>
      </c>
      <c r="V340" s="2" t="s">
        <v>59</v>
      </c>
      <c r="W340" s="2">
        <v>0</v>
      </c>
      <c r="X340" s="2">
        <v>1</v>
      </c>
      <c r="Y340" s="2">
        <v>0</v>
      </c>
      <c r="Z340" s="2">
        <v>0</v>
      </c>
      <c r="AA340" s="2">
        <v>1</v>
      </c>
      <c r="AB340" s="2"/>
      <c r="AC340" s="2">
        <v>0</v>
      </c>
      <c r="AD340" s="2"/>
      <c r="AE340" s="2" t="s">
        <v>46</v>
      </c>
      <c r="AF340" s="2">
        <v>0</v>
      </c>
      <c r="AG340" s="2">
        <v>0</v>
      </c>
      <c r="AH340" s="2" t="s">
        <v>368</v>
      </c>
      <c r="AI340" s="2" t="s">
        <v>43</v>
      </c>
      <c r="AJ340" s="2">
        <v>0</v>
      </c>
      <c r="AK340" s="2">
        <v>0</v>
      </c>
      <c r="AL340" s="2"/>
      <c r="AM340" s="2">
        <v>0</v>
      </c>
      <c r="AN340" s="2">
        <v>0</v>
      </c>
      <c r="AO340" s="2"/>
      <c r="AP340" s="2"/>
      <c r="AQ340" s="2" t="s">
        <v>48</v>
      </c>
      <c r="AR340" s="2" t="s">
        <v>1486</v>
      </c>
      <c r="AS340" s="2" t="s">
        <v>1472</v>
      </c>
      <c r="AT340" s="2" t="s">
        <v>1473</v>
      </c>
      <c r="AU340" s="2" t="s">
        <v>996</v>
      </c>
      <c r="AV340" s="2" t="s">
        <v>897</v>
      </c>
      <c r="AW340" s="2">
        <v>4.3670134288</v>
      </c>
      <c r="AX340" s="2">
        <v>50.8623104443</v>
      </c>
    </row>
    <row r="341" spans="2:50" x14ac:dyDescent="0.25">
      <c r="B341" s="2">
        <v>380</v>
      </c>
      <c r="C341" s="2">
        <v>2159981</v>
      </c>
      <c r="D341" s="2" t="s">
        <v>822</v>
      </c>
      <c r="E341" s="2">
        <v>12</v>
      </c>
      <c r="F341" s="2">
        <v>0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f>SUM(parking_data_1030[[#This Row],[Résidenti]:[Autres]])</f>
        <v>12</v>
      </c>
      <c r="R341" s="2">
        <v>12</v>
      </c>
      <c r="S341" s="2">
        <v>12</v>
      </c>
      <c r="T341" s="2" t="s">
        <v>43</v>
      </c>
      <c r="U341" s="2" t="s">
        <v>76</v>
      </c>
      <c r="V341" s="2" t="s">
        <v>59</v>
      </c>
      <c r="W341" s="2">
        <v>1</v>
      </c>
      <c r="X341" s="2">
        <v>1</v>
      </c>
      <c r="Y341" s="2">
        <v>0</v>
      </c>
      <c r="Z341" s="2">
        <v>0</v>
      </c>
      <c r="AA341" s="2">
        <v>1</v>
      </c>
      <c r="AB341" s="2"/>
      <c r="AC341" s="2">
        <v>100</v>
      </c>
      <c r="AD341" s="2"/>
      <c r="AE341" s="2" t="s">
        <v>46</v>
      </c>
      <c r="AF341" s="2">
        <v>0</v>
      </c>
      <c r="AG341" s="2">
        <v>0</v>
      </c>
      <c r="AH341" s="2"/>
      <c r="AI341" s="2" t="s">
        <v>43</v>
      </c>
      <c r="AJ341" s="2">
        <v>0</v>
      </c>
      <c r="AK341" s="2">
        <v>0</v>
      </c>
      <c r="AL341" s="2"/>
      <c r="AM341" s="2">
        <v>0</v>
      </c>
      <c r="AN341" s="2">
        <v>0</v>
      </c>
      <c r="AO341" s="2"/>
      <c r="AP341" s="2"/>
      <c r="AQ341" s="2" t="s">
        <v>48</v>
      </c>
      <c r="AR341" s="2" t="s">
        <v>1487</v>
      </c>
      <c r="AS341" s="2" t="s">
        <v>1472</v>
      </c>
      <c r="AT341" s="2" t="s">
        <v>1473</v>
      </c>
      <c r="AU341" s="2" t="s">
        <v>1488</v>
      </c>
      <c r="AV341" s="2" t="s">
        <v>897</v>
      </c>
      <c r="AW341" s="2">
        <v>4.3660004984</v>
      </c>
      <c r="AX341" s="2">
        <v>50.865631905900003</v>
      </c>
    </row>
    <row r="342" spans="2:50" x14ac:dyDescent="0.25">
      <c r="B342" s="2">
        <v>381</v>
      </c>
      <c r="C342" s="2">
        <v>2160102</v>
      </c>
      <c r="D342" s="2" t="s">
        <v>369</v>
      </c>
      <c r="E342" s="2">
        <v>0</v>
      </c>
      <c r="F342" s="2">
        <v>0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16</v>
      </c>
      <c r="P342" s="2">
        <v>0</v>
      </c>
      <c r="Q342" s="2">
        <f>SUM(parking_data_1030[[#This Row],[Résidenti]:[Autres]])</f>
        <v>16</v>
      </c>
      <c r="R342" s="2">
        <v>16</v>
      </c>
      <c r="S342" s="2">
        <v>0</v>
      </c>
      <c r="T342" s="2" t="s">
        <v>79</v>
      </c>
      <c r="U342" s="2" t="s">
        <v>44</v>
      </c>
      <c r="V342" s="2" t="s">
        <v>45</v>
      </c>
      <c r="W342" s="2">
        <v>1</v>
      </c>
      <c r="X342" s="2">
        <v>1</v>
      </c>
      <c r="Y342" s="2">
        <v>1</v>
      </c>
      <c r="Z342" s="2">
        <v>0</v>
      </c>
      <c r="AA342" s="2">
        <v>1</v>
      </c>
      <c r="AB342" s="2"/>
      <c r="AC342" s="2">
        <v>0</v>
      </c>
      <c r="AD342" s="2"/>
      <c r="AE342" s="2" t="s">
        <v>46</v>
      </c>
      <c r="AF342" s="2">
        <v>0</v>
      </c>
      <c r="AG342" s="2">
        <v>0</v>
      </c>
      <c r="AH342" s="2" t="s">
        <v>370</v>
      </c>
      <c r="AI342" s="2" t="s">
        <v>43</v>
      </c>
      <c r="AJ342" s="2">
        <v>0</v>
      </c>
      <c r="AK342" s="2">
        <v>16</v>
      </c>
      <c r="AL342" s="2"/>
      <c r="AM342" s="2">
        <v>0</v>
      </c>
      <c r="AN342" s="2">
        <v>0</v>
      </c>
      <c r="AO342" s="2"/>
      <c r="AP342" s="2"/>
      <c r="AQ342" s="2" t="s">
        <v>48</v>
      </c>
      <c r="AR342" s="2" t="s">
        <v>1489</v>
      </c>
      <c r="AS342" s="2" t="s">
        <v>1472</v>
      </c>
      <c r="AT342" s="2" t="s">
        <v>1473</v>
      </c>
      <c r="AU342" s="2" t="s">
        <v>1490</v>
      </c>
      <c r="AV342" s="2" t="s">
        <v>1170</v>
      </c>
      <c r="AW342" s="2">
        <v>4.3664018994999996</v>
      </c>
      <c r="AX342" s="2">
        <v>50.8663705198</v>
      </c>
    </row>
    <row r="343" spans="2:50" x14ac:dyDescent="0.25">
      <c r="B343" s="2">
        <v>478</v>
      </c>
      <c r="C343" s="2">
        <v>2147426</v>
      </c>
      <c r="D343" s="2" t="s">
        <v>535</v>
      </c>
      <c r="E343" s="2">
        <v>0</v>
      </c>
      <c r="F343" s="2">
        <v>10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f>SUM(parking_data_1030[[#This Row],[Résidenti]:[Autres]])</f>
        <v>10</v>
      </c>
      <c r="R343" s="2">
        <v>0</v>
      </c>
      <c r="S343" s="2">
        <v>0</v>
      </c>
      <c r="T343" s="2" t="s">
        <v>43</v>
      </c>
      <c r="U343" s="2" t="s">
        <v>76</v>
      </c>
      <c r="V343" s="2" t="s">
        <v>45</v>
      </c>
      <c r="W343" s="2">
        <v>0</v>
      </c>
      <c r="X343" s="2">
        <v>1</v>
      </c>
      <c r="Y343" s="2">
        <v>0</v>
      </c>
      <c r="Z343" s="2">
        <v>1</v>
      </c>
      <c r="AA343" s="2">
        <v>0</v>
      </c>
      <c r="AB343" s="2"/>
      <c r="AC343" s="2">
        <v>0</v>
      </c>
      <c r="AD343" s="2"/>
      <c r="AE343" s="2" t="s">
        <v>46</v>
      </c>
      <c r="AF343" s="2">
        <v>0</v>
      </c>
      <c r="AG343" s="2">
        <v>0</v>
      </c>
      <c r="AH343" s="2" t="s">
        <v>120</v>
      </c>
      <c r="AI343" s="2" t="s">
        <v>43</v>
      </c>
      <c r="AJ343" s="2">
        <v>0</v>
      </c>
      <c r="AK343" s="2">
        <v>10</v>
      </c>
      <c r="AL343" s="2"/>
      <c r="AM343" s="2">
        <v>0</v>
      </c>
      <c r="AN343" s="2">
        <v>0</v>
      </c>
      <c r="AO343" s="2"/>
      <c r="AP343" s="2"/>
      <c r="AQ343" s="2" t="s">
        <v>48</v>
      </c>
      <c r="AR343" s="2" t="s">
        <v>1594</v>
      </c>
      <c r="AS343" s="2" t="s">
        <v>1472</v>
      </c>
      <c r="AT343" s="2" t="s">
        <v>1473</v>
      </c>
      <c r="AU343" s="2" t="s">
        <v>996</v>
      </c>
      <c r="AV343" s="2" t="s">
        <v>897</v>
      </c>
      <c r="AW343" s="2">
        <v>4.3671394132000003</v>
      </c>
      <c r="AX343" s="2">
        <v>50.861992864000001</v>
      </c>
    </row>
    <row r="344" spans="2:50" x14ac:dyDescent="0.25">
      <c r="B344" s="2">
        <v>308</v>
      </c>
      <c r="C344" s="2">
        <v>2157276</v>
      </c>
      <c r="D344" s="2" t="s">
        <v>493</v>
      </c>
      <c r="E344" s="2">
        <v>14</v>
      </c>
      <c r="F344" s="2">
        <v>0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  <c r="Q344" s="2">
        <f>SUM(parking_data_1030[[#This Row],[Résidenti]:[Autres]])</f>
        <v>14</v>
      </c>
      <c r="R344" s="2">
        <v>0</v>
      </c>
      <c r="S344" s="2">
        <v>0</v>
      </c>
      <c r="T344" s="2" t="s">
        <v>43</v>
      </c>
      <c r="U344" s="2" t="s">
        <v>115</v>
      </c>
      <c r="V344" s="2" t="s">
        <v>45</v>
      </c>
      <c r="W344" s="2">
        <v>1</v>
      </c>
      <c r="X344" s="2">
        <v>1</v>
      </c>
      <c r="Y344" s="2">
        <v>0</v>
      </c>
      <c r="Z344" s="2">
        <v>0</v>
      </c>
      <c r="AA344" s="2">
        <v>0</v>
      </c>
      <c r="AB344" s="2"/>
      <c r="AC344" s="2">
        <v>0</v>
      </c>
      <c r="AD344" s="2"/>
      <c r="AE344" s="2" t="s">
        <v>46</v>
      </c>
      <c r="AF344" s="2">
        <v>0</v>
      </c>
      <c r="AG344" s="2">
        <v>0</v>
      </c>
      <c r="AH344" s="2"/>
      <c r="AI344" s="2" t="s">
        <v>43</v>
      </c>
      <c r="AJ344" s="2">
        <v>0</v>
      </c>
      <c r="AK344" s="2">
        <v>0</v>
      </c>
      <c r="AL344" s="2"/>
      <c r="AM344" s="2">
        <v>0</v>
      </c>
      <c r="AN344" s="2">
        <v>0</v>
      </c>
      <c r="AO344" s="2"/>
      <c r="AP344" s="2"/>
      <c r="AQ344" s="2" t="s">
        <v>48</v>
      </c>
      <c r="AR344" s="2" t="s">
        <v>890</v>
      </c>
      <c r="AS344" s="2" t="s">
        <v>1381</v>
      </c>
      <c r="AT344" s="2" t="s">
        <v>1382</v>
      </c>
      <c r="AU344" s="2" t="s">
        <v>1383</v>
      </c>
      <c r="AV344" s="2" t="s">
        <v>1137</v>
      </c>
      <c r="AW344" s="2">
        <v>4.3947557356000004</v>
      </c>
      <c r="AX344" s="2">
        <v>50.856398194100002</v>
      </c>
    </row>
    <row r="345" spans="2:50" x14ac:dyDescent="0.25">
      <c r="B345" s="2">
        <v>297</v>
      </c>
      <c r="C345" s="2">
        <v>2132937</v>
      </c>
      <c r="D345" s="2" t="s">
        <v>499</v>
      </c>
      <c r="E345" s="2">
        <v>17</v>
      </c>
      <c r="F345" s="2">
        <v>0</v>
      </c>
      <c r="G345" s="2">
        <v>0</v>
      </c>
      <c r="H345" s="2">
        <v>0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  <c r="Q345" s="2">
        <f>SUM(parking_data_1030[[#This Row],[Résidenti]:[Autres]])</f>
        <v>17</v>
      </c>
      <c r="R345" s="2">
        <v>0</v>
      </c>
      <c r="S345" s="2">
        <v>0</v>
      </c>
      <c r="T345" s="2" t="s">
        <v>43</v>
      </c>
      <c r="U345" s="2" t="s">
        <v>44</v>
      </c>
      <c r="V345" s="2" t="s">
        <v>45</v>
      </c>
      <c r="W345" s="2">
        <v>1</v>
      </c>
      <c r="X345" s="2">
        <v>1</v>
      </c>
      <c r="Y345" s="2">
        <v>0</v>
      </c>
      <c r="Z345" s="2">
        <v>0</v>
      </c>
      <c r="AA345" s="2">
        <v>0</v>
      </c>
      <c r="AB345" s="2"/>
      <c r="AC345" s="2">
        <v>0</v>
      </c>
      <c r="AD345" s="2"/>
      <c r="AE345" s="2" t="s">
        <v>106</v>
      </c>
      <c r="AF345" s="2">
        <v>0</v>
      </c>
      <c r="AG345" s="2">
        <v>0</v>
      </c>
      <c r="AH345" s="2" t="s">
        <v>500</v>
      </c>
      <c r="AI345" s="2" t="s">
        <v>43</v>
      </c>
      <c r="AJ345" s="2">
        <v>0</v>
      </c>
      <c r="AK345" s="2">
        <v>0</v>
      </c>
      <c r="AL345" s="2"/>
      <c r="AM345" s="2">
        <v>0</v>
      </c>
      <c r="AN345" s="2">
        <v>0</v>
      </c>
      <c r="AO345" s="2"/>
      <c r="AP345" s="2"/>
      <c r="AQ345" s="2" t="s">
        <v>48</v>
      </c>
      <c r="AR345" s="2" t="s">
        <v>1360</v>
      </c>
      <c r="AS345" s="2" t="s">
        <v>1361</v>
      </c>
      <c r="AT345" s="2" t="s">
        <v>1362</v>
      </c>
      <c r="AU345" s="2" t="s">
        <v>1359</v>
      </c>
      <c r="AV345" s="2" t="s">
        <v>1137</v>
      </c>
      <c r="AW345" s="2">
        <v>4.3784574806999998</v>
      </c>
      <c r="AX345" s="2">
        <v>50.854002954800002</v>
      </c>
    </row>
    <row r="346" spans="2:50" x14ac:dyDescent="0.25">
      <c r="B346" s="2">
        <v>333</v>
      </c>
      <c r="C346" s="2">
        <v>2142445</v>
      </c>
      <c r="D346" s="2" t="s">
        <v>352</v>
      </c>
      <c r="E346" s="2">
        <v>22</v>
      </c>
      <c r="F346" s="2">
        <v>0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  <c r="Q346" s="2">
        <f>SUM(parking_data_1030[[#This Row],[Résidenti]:[Autres]])</f>
        <v>22</v>
      </c>
      <c r="R346" s="2">
        <v>0</v>
      </c>
      <c r="S346" s="2">
        <v>0</v>
      </c>
      <c r="T346" s="2" t="s">
        <v>43</v>
      </c>
      <c r="U346" s="2" t="s">
        <v>44</v>
      </c>
      <c r="V346" s="2" t="s">
        <v>45</v>
      </c>
      <c r="W346" s="2">
        <v>0</v>
      </c>
      <c r="X346" s="2">
        <v>1</v>
      </c>
      <c r="Y346" s="2">
        <v>0</v>
      </c>
      <c r="Z346" s="2">
        <v>1</v>
      </c>
      <c r="AA346" s="2">
        <v>0</v>
      </c>
      <c r="AB346" s="2"/>
      <c r="AC346" s="2">
        <v>0</v>
      </c>
      <c r="AD346" s="2"/>
      <c r="AE346" s="2" t="s">
        <v>46</v>
      </c>
      <c r="AF346" s="2">
        <v>0</v>
      </c>
      <c r="AG346" s="2">
        <v>0</v>
      </c>
      <c r="AH346" s="2" t="s">
        <v>120</v>
      </c>
      <c r="AI346" s="2" t="s">
        <v>43</v>
      </c>
      <c r="AJ346" s="2">
        <v>0</v>
      </c>
      <c r="AK346" s="2">
        <v>0</v>
      </c>
      <c r="AL346" s="2"/>
      <c r="AM346" s="2">
        <v>0</v>
      </c>
      <c r="AN346" s="2">
        <v>0</v>
      </c>
      <c r="AO346" s="2"/>
      <c r="AP346" s="2"/>
      <c r="AQ346" s="2" t="s">
        <v>48</v>
      </c>
      <c r="AR346" s="2" t="s">
        <v>929</v>
      </c>
      <c r="AS346" s="2" t="s">
        <v>1361</v>
      </c>
      <c r="AT346" s="2" t="s">
        <v>1362</v>
      </c>
      <c r="AU346" s="2" t="s">
        <v>1426</v>
      </c>
      <c r="AV346" s="2" t="s">
        <v>1420</v>
      </c>
      <c r="AW346" s="2">
        <v>4.3775809294999997</v>
      </c>
      <c r="AX346" s="2">
        <v>50.856670804700002</v>
      </c>
    </row>
    <row r="347" spans="2:50" x14ac:dyDescent="0.25">
      <c r="B347" s="2">
        <v>334</v>
      </c>
      <c r="C347" s="2">
        <v>2132909</v>
      </c>
      <c r="D347" s="2" t="s">
        <v>353</v>
      </c>
      <c r="E347" s="2">
        <v>10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f>SUM(parking_data_1030[[#This Row],[Résidenti]:[Autres]])</f>
        <v>10</v>
      </c>
      <c r="R347" s="2">
        <v>0</v>
      </c>
      <c r="S347" s="2">
        <v>0</v>
      </c>
      <c r="T347" s="2" t="s">
        <v>43</v>
      </c>
      <c r="U347" s="2" t="s">
        <v>54</v>
      </c>
      <c r="V347" s="2" t="s">
        <v>45</v>
      </c>
      <c r="W347" s="2">
        <v>1</v>
      </c>
      <c r="X347" s="2">
        <v>1</v>
      </c>
      <c r="Y347" s="2">
        <v>0</v>
      </c>
      <c r="Z347" s="2">
        <v>0</v>
      </c>
      <c r="AA347" s="2">
        <v>0</v>
      </c>
      <c r="AB347" s="2"/>
      <c r="AC347" s="2">
        <v>0</v>
      </c>
      <c r="AD347" s="2"/>
      <c r="AE347" s="2" t="s">
        <v>46</v>
      </c>
      <c r="AF347" s="2">
        <v>0</v>
      </c>
      <c r="AG347" s="2">
        <v>0</v>
      </c>
      <c r="AH347" s="2"/>
      <c r="AI347" s="2" t="s">
        <v>43</v>
      </c>
      <c r="AJ347" s="2">
        <v>0</v>
      </c>
      <c r="AK347" s="2">
        <v>0</v>
      </c>
      <c r="AL347" s="2"/>
      <c r="AM347" s="2">
        <v>0</v>
      </c>
      <c r="AN347" s="2">
        <v>0</v>
      </c>
      <c r="AO347" s="2"/>
      <c r="AP347" s="2"/>
      <c r="AQ347" s="2" t="s">
        <v>48</v>
      </c>
      <c r="AR347" s="2" t="s">
        <v>954</v>
      </c>
      <c r="AS347" s="2" t="s">
        <v>1361</v>
      </c>
      <c r="AT347" s="2" t="s">
        <v>1362</v>
      </c>
      <c r="AU347" s="2" t="s">
        <v>1427</v>
      </c>
      <c r="AV347" s="2" t="s">
        <v>1420</v>
      </c>
      <c r="AW347" s="2">
        <v>4.3784266052999996</v>
      </c>
      <c r="AX347" s="2">
        <v>50.857302904699999</v>
      </c>
    </row>
    <row r="348" spans="2:50" x14ac:dyDescent="0.25">
      <c r="B348" s="2">
        <v>335</v>
      </c>
      <c r="C348" s="2">
        <v>2132906</v>
      </c>
      <c r="D348" s="2" t="s">
        <v>354</v>
      </c>
      <c r="E348" s="2">
        <v>34</v>
      </c>
      <c r="F348" s="2">
        <v>0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0</v>
      </c>
      <c r="Q348" s="2">
        <f>SUM(parking_data_1030[[#This Row],[Résidenti]:[Autres]])</f>
        <v>34</v>
      </c>
      <c r="R348" s="2">
        <v>0</v>
      </c>
      <c r="S348" s="2">
        <v>0</v>
      </c>
      <c r="T348" s="2" t="s">
        <v>43</v>
      </c>
      <c r="U348" s="2" t="s">
        <v>54</v>
      </c>
      <c r="V348" s="2" t="s">
        <v>45</v>
      </c>
      <c r="W348" s="2">
        <v>1</v>
      </c>
      <c r="X348" s="2">
        <v>1</v>
      </c>
      <c r="Y348" s="2">
        <v>0</v>
      </c>
      <c r="Z348" s="2">
        <v>0</v>
      </c>
      <c r="AA348" s="2">
        <v>0</v>
      </c>
      <c r="AB348" s="2"/>
      <c r="AC348" s="2">
        <v>0</v>
      </c>
      <c r="AD348" s="2"/>
      <c r="AE348" s="2" t="s">
        <v>46</v>
      </c>
      <c r="AF348" s="2">
        <v>0</v>
      </c>
      <c r="AG348" s="2">
        <v>0</v>
      </c>
      <c r="AH348" s="2"/>
      <c r="AI348" s="2" t="s">
        <v>43</v>
      </c>
      <c r="AJ348" s="2">
        <v>0</v>
      </c>
      <c r="AK348" s="2">
        <v>0</v>
      </c>
      <c r="AL348" s="2"/>
      <c r="AM348" s="2">
        <v>0</v>
      </c>
      <c r="AN348" s="2">
        <v>0</v>
      </c>
      <c r="AO348" s="2"/>
      <c r="AP348" s="2"/>
      <c r="AQ348" s="2" t="s">
        <v>48</v>
      </c>
      <c r="AR348" s="2" t="s">
        <v>912</v>
      </c>
      <c r="AS348" s="2" t="s">
        <v>1361</v>
      </c>
      <c r="AT348" s="2" t="s">
        <v>1362</v>
      </c>
      <c r="AU348" s="2" t="s">
        <v>1427</v>
      </c>
      <c r="AV348" s="2" t="s">
        <v>1420</v>
      </c>
      <c r="AW348" s="2">
        <v>4.3785748327</v>
      </c>
      <c r="AX348" s="2">
        <v>50.857686707900001</v>
      </c>
    </row>
    <row r="349" spans="2:50" x14ac:dyDescent="0.25">
      <c r="B349" s="2">
        <v>336</v>
      </c>
      <c r="C349" s="2">
        <v>2146251</v>
      </c>
      <c r="D349" s="2" t="s">
        <v>331</v>
      </c>
      <c r="E349" s="2">
        <v>11</v>
      </c>
      <c r="F349" s="2">
        <v>0</v>
      </c>
      <c r="G349" s="2">
        <v>0</v>
      </c>
      <c r="H349" s="2">
        <v>0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 s="2">
        <v>0</v>
      </c>
      <c r="O349" s="2">
        <v>0</v>
      </c>
      <c r="P349" s="2">
        <v>0</v>
      </c>
      <c r="Q349" s="2">
        <f>SUM(parking_data_1030[[#This Row],[Résidenti]:[Autres]])</f>
        <v>11</v>
      </c>
      <c r="R349" s="2">
        <v>0</v>
      </c>
      <c r="S349" s="2">
        <v>0</v>
      </c>
      <c r="T349" s="2" t="s">
        <v>43</v>
      </c>
      <c r="U349" s="2" t="s">
        <v>54</v>
      </c>
      <c r="V349" s="2" t="s">
        <v>45</v>
      </c>
      <c r="W349" s="2">
        <v>1</v>
      </c>
      <c r="X349" s="2">
        <v>1</v>
      </c>
      <c r="Y349" s="2">
        <v>0</v>
      </c>
      <c r="Z349" s="2">
        <v>0</v>
      </c>
      <c r="AA349" s="2">
        <v>0</v>
      </c>
      <c r="AB349" s="2"/>
      <c r="AC349" s="2">
        <v>0</v>
      </c>
      <c r="AD349" s="2"/>
      <c r="AE349" s="2" t="s">
        <v>46</v>
      </c>
      <c r="AF349" s="2">
        <v>0</v>
      </c>
      <c r="AG349" s="2">
        <v>0</v>
      </c>
      <c r="AH349" s="2"/>
      <c r="AI349" s="2" t="s">
        <v>43</v>
      </c>
      <c r="AJ349" s="2">
        <v>0</v>
      </c>
      <c r="AK349" s="2">
        <v>0</v>
      </c>
      <c r="AL349" s="2"/>
      <c r="AM349" s="2">
        <v>0</v>
      </c>
      <c r="AN349" s="2">
        <v>0</v>
      </c>
      <c r="AO349" s="2"/>
      <c r="AP349" s="2"/>
      <c r="AQ349" s="2" t="s">
        <v>48</v>
      </c>
      <c r="AR349" s="2" t="s">
        <v>1428</v>
      </c>
      <c r="AS349" s="2" t="s">
        <v>1361</v>
      </c>
      <c r="AT349" s="2" t="s">
        <v>1362</v>
      </c>
      <c r="AU349" s="2" t="s">
        <v>1427</v>
      </c>
      <c r="AV349" s="2" t="s">
        <v>1420</v>
      </c>
      <c r="AW349" s="2">
        <v>4.3786894449</v>
      </c>
      <c r="AX349" s="2">
        <v>50.8579004845</v>
      </c>
    </row>
    <row r="350" spans="2:50" x14ac:dyDescent="0.25">
      <c r="B350" s="2">
        <v>337</v>
      </c>
      <c r="C350" s="2">
        <v>2146247</v>
      </c>
      <c r="D350" s="2" t="s">
        <v>332</v>
      </c>
      <c r="E350" s="2">
        <v>13</v>
      </c>
      <c r="F350" s="2">
        <v>0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  <c r="Q350" s="2">
        <f>SUM(parking_data_1030[[#This Row],[Résidenti]:[Autres]])</f>
        <v>13</v>
      </c>
      <c r="R350" s="2">
        <v>0</v>
      </c>
      <c r="S350" s="2">
        <v>0</v>
      </c>
      <c r="T350" s="2" t="s">
        <v>43</v>
      </c>
      <c r="U350" s="2" t="s">
        <v>54</v>
      </c>
      <c r="V350" s="2" t="s">
        <v>45</v>
      </c>
      <c r="W350" s="2">
        <v>1</v>
      </c>
      <c r="X350" s="2">
        <v>1</v>
      </c>
      <c r="Y350" s="2">
        <v>0</v>
      </c>
      <c r="Z350" s="2">
        <v>0</v>
      </c>
      <c r="AA350" s="2">
        <v>0</v>
      </c>
      <c r="AB350" s="2"/>
      <c r="AC350" s="2">
        <v>0</v>
      </c>
      <c r="AD350" s="2"/>
      <c r="AE350" s="2" t="s">
        <v>46</v>
      </c>
      <c r="AF350" s="2">
        <v>0</v>
      </c>
      <c r="AG350" s="2">
        <v>0</v>
      </c>
      <c r="AH350" s="2"/>
      <c r="AI350" s="2" t="s">
        <v>43</v>
      </c>
      <c r="AJ350" s="2">
        <v>0</v>
      </c>
      <c r="AK350" s="2">
        <v>0</v>
      </c>
      <c r="AL350" s="2"/>
      <c r="AM350" s="2">
        <v>0</v>
      </c>
      <c r="AN350" s="2">
        <v>0</v>
      </c>
      <c r="AO350" s="2"/>
      <c r="AP350" s="2"/>
      <c r="AQ350" s="2" t="s">
        <v>48</v>
      </c>
      <c r="AR350" s="2" t="s">
        <v>1164</v>
      </c>
      <c r="AS350" s="2" t="s">
        <v>1361</v>
      </c>
      <c r="AT350" s="2" t="s">
        <v>1362</v>
      </c>
      <c r="AU350" s="2" t="s">
        <v>1427</v>
      </c>
      <c r="AV350" s="2" t="s">
        <v>1420</v>
      </c>
      <c r="AW350" s="2">
        <v>4.3787428037999998</v>
      </c>
      <c r="AX350" s="2">
        <v>50.858020500400002</v>
      </c>
    </row>
    <row r="351" spans="2:50" x14ac:dyDescent="0.25">
      <c r="B351" s="2">
        <v>338</v>
      </c>
      <c r="C351" s="2">
        <v>2146245</v>
      </c>
      <c r="D351" s="2" t="s">
        <v>333</v>
      </c>
      <c r="E351" s="2">
        <v>35</v>
      </c>
      <c r="F351" s="2">
        <v>0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f>SUM(parking_data_1030[[#This Row],[Résidenti]:[Autres]])</f>
        <v>35</v>
      </c>
      <c r="R351" s="2">
        <v>0</v>
      </c>
      <c r="S351" s="2">
        <v>0</v>
      </c>
      <c r="T351" s="2" t="s">
        <v>43</v>
      </c>
      <c r="U351" s="2" t="s">
        <v>54</v>
      </c>
      <c r="V351" s="2" t="s">
        <v>45</v>
      </c>
      <c r="W351" s="2">
        <v>1</v>
      </c>
      <c r="X351" s="2">
        <v>1</v>
      </c>
      <c r="Y351" s="2">
        <v>0</v>
      </c>
      <c r="Z351" s="2">
        <v>0</v>
      </c>
      <c r="AA351" s="2">
        <v>0</v>
      </c>
      <c r="AB351" s="2"/>
      <c r="AC351" s="2">
        <v>0</v>
      </c>
      <c r="AD351" s="2"/>
      <c r="AE351" s="2" t="s">
        <v>46</v>
      </c>
      <c r="AF351" s="2">
        <v>0</v>
      </c>
      <c r="AG351" s="2">
        <v>0</v>
      </c>
      <c r="AH351" s="2"/>
      <c r="AI351" s="2" t="s">
        <v>43</v>
      </c>
      <c r="AJ351" s="2">
        <v>0</v>
      </c>
      <c r="AK351" s="2">
        <v>0</v>
      </c>
      <c r="AL351" s="2"/>
      <c r="AM351" s="2">
        <v>0</v>
      </c>
      <c r="AN351" s="2">
        <v>0</v>
      </c>
      <c r="AO351" s="2"/>
      <c r="AP351" s="2"/>
      <c r="AQ351" s="2" t="s">
        <v>48</v>
      </c>
      <c r="AR351" s="2" t="s">
        <v>898</v>
      </c>
      <c r="AS351" s="2" t="s">
        <v>1361</v>
      </c>
      <c r="AT351" s="2" t="s">
        <v>1362</v>
      </c>
      <c r="AU351" s="2" t="s">
        <v>1427</v>
      </c>
      <c r="AV351" s="2" t="s">
        <v>1420</v>
      </c>
      <c r="AW351" s="2">
        <v>4.3787457726000003</v>
      </c>
      <c r="AX351" s="2">
        <v>50.858150005699997</v>
      </c>
    </row>
    <row r="352" spans="2:50" x14ac:dyDescent="0.25">
      <c r="B352" s="2">
        <v>339</v>
      </c>
      <c r="C352" s="2">
        <v>2146158</v>
      </c>
      <c r="D352" s="2" t="s">
        <v>334</v>
      </c>
      <c r="E352" s="2">
        <v>25</v>
      </c>
      <c r="F352" s="2">
        <v>0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f>SUM(parking_data_1030[[#This Row],[Résidenti]:[Autres]])</f>
        <v>25</v>
      </c>
      <c r="R352" s="2">
        <v>0</v>
      </c>
      <c r="S352" s="2">
        <v>0</v>
      </c>
      <c r="T352" s="2" t="s">
        <v>43</v>
      </c>
      <c r="U352" s="2" t="s">
        <v>110</v>
      </c>
      <c r="V352" s="2" t="s">
        <v>45</v>
      </c>
      <c r="W352" s="2">
        <v>1</v>
      </c>
      <c r="X352" s="2">
        <v>1</v>
      </c>
      <c r="Y352" s="2">
        <v>0</v>
      </c>
      <c r="Z352" s="2">
        <v>0</v>
      </c>
      <c r="AA352" s="2">
        <v>0</v>
      </c>
      <c r="AB352" s="2"/>
      <c r="AC352" s="2">
        <v>0</v>
      </c>
      <c r="AD352" s="2"/>
      <c r="AE352" s="2" t="s">
        <v>46</v>
      </c>
      <c r="AF352" s="2">
        <v>0</v>
      </c>
      <c r="AG352" s="2">
        <v>0</v>
      </c>
      <c r="AH352" s="2" t="s">
        <v>335</v>
      </c>
      <c r="AI352" s="2" t="s">
        <v>43</v>
      </c>
      <c r="AJ352" s="2">
        <v>0</v>
      </c>
      <c r="AK352" s="2">
        <v>0</v>
      </c>
      <c r="AL352" s="2"/>
      <c r="AM352" s="2">
        <v>0</v>
      </c>
      <c r="AN352" s="2">
        <v>0</v>
      </c>
      <c r="AO352" s="2"/>
      <c r="AP352" s="2"/>
      <c r="AQ352" s="2" t="s">
        <v>48</v>
      </c>
      <c r="AR352" s="2" t="s">
        <v>1429</v>
      </c>
      <c r="AS352" s="2" t="s">
        <v>1361</v>
      </c>
      <c r="AT352" s="2" t="s">
        <v>1362</v>
      </c>
      <c r="AU352" s="2" t="s">
        <v>1430</v>
      </c>
      <c r="AV352" s="2" t="s">
        <v>1420</v>
      </c>
      <c r="AW352" s="2">
        <v>4.3777432891999997</v>
      </c>
      <c r="AX352" s="2">
        <v>50.857844306499999</v>
      </c>
    </row>
    <row r="353" spans="2:50" x14ac:dyDescent="0.25">
      <c r="B353" s="2">
        <v>355</v>
      </c>
      <c r="C353" s="2">
        <v>2133483</v>
      </c>
      <c r="D353" s="2" t="s">
        <v>430</v>
      </c>
      <c r="E353" s="2">
        <v>35</v>
      </c>
      <c r="F353" s="2">
        <v>0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f>SUM(parking_data_1030[[#This Row],[Résidenti]:[Autres]])</f>
        <v>35</v>
      </c>
      <c r="R353" s="2">
        <v>0</v>
      </c>
      <c r="S353" s="2">
        <v>0</v>
      </c>
      <c r="T353" s="2" t="s">
        <v>43</v>
      </c>
      <c r="U353" s="2" t="s">
        <v>54</v>
      </c>
      <c r="V353" s="2" t="s">
        <v>45</v>
      </c>
      <c r="W353" s="2">
        <v>1</v>
      </c>
      <c r="X353" s="2">
        <v>1</v>
      </c>
      <c r="Y353" s="2">
        <v>0</v>
      </c>
      <c r="Z353" s="2">
        <v>0</v>
      </c>
      <c r="AA353" s="2">
        <v>0</v>
      </c>
      <c r="AB353" s="2"/>
      <c r="AC353" s="2">
        <v>0</v>
      </c>
      <c r="AD353" s="2"/>
      <c r="AE353" s="2" t="s">
        <v>46</v>
      </c>
      <c r="AF353" s="2">
        <v>0</v>
      </c>
      <c r="AG353" s="2">
        <v>0</v>
      </c>
      <c r="AH353" s="2"/>
      <c r="AI353" s="2" t="s">
        <v>43</v>
      </c>
      <c r="AJ353" s="2">
        <v>0</v>
      </c>
      <c r="AK353" s="2">
        <v>0</v>
      </c>
      <c r="AL353" s="2"/>
      <c r="AM353" s="2">
        <v>0</v>
      </c>
      <c r="AN353" s="2">
        <v>0</v>
      </c>
      <c r="AO353" s="2"/>
      <c r="AP353" s="2"/>
      <c r="AQ353" s="2" t="s">
        <v>48</v>
      </c>
      <c r="AR353" s="2" t="s">
        <v>1451</v>
      </c>
      <c r="AS353" s="2" t="s">
        <v>1361</v>
      </c>
      <c r="AT353" s="2" t="s">
        <v>1362</v>
      </c>
      <c r="AU353" s="2" t="s">
        <v>1450</v>
      </c>
      <c r="AV353" s="2" t="s">
        <v>1420</v>
      </c>
      <c r="AW353" s="2">
        <v>4.3785949978999996</v>
      </c>
      <c r="AX353" s="2">
        <v>50.859648663400002</v>
      </c>
    </row>
    <row r="354" spans="2:50" x14ac:dyDescent="0.25">
      <c r="B354" s="2">
        <v>357</v>
      </c>
      <c r="C354" s="2">
        <v>2150089</v>
      </c>
      <c r="D354" s="2" t="s">
        <v>433</v>
      </c>
      <c r="E354" s="2">
        <v>11</v>
      </c>
      <c r="F354" s="2">
        <v>0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f>SUM(parking_data_1030[[#This Row],[Résidenti]:[Autres]])</f>
        <v>11</v>
      </c>
      <c r="R354" s="2">
        <v>0</v>
      </c>
      <c r="S354" s="2">
        <v>0</v>
      </c>
      <c r="T354" s="2" t="s">
        <v>43</v>
      </c>
      <c r="U354" s="2" t="s">
        <v>58</v>
      </c>
      <c r="V354" s="2" t="s">
        <v>45</v>
      </c>
      <c r="W354" s="2">
        <v>1</v>
      </c>
      <c r="X354" s="2">
        <v>0</v>
      </c>
      <c r="Y354" s="2">
        <v>0</v>
      </c>
      <c r="Z354" s="2">
        <v>0</v>
      </c>
      <c r="AA354" s="2">
        <v>0</v>
      </c>
      <c r="AB354" s="2"/>
      <c r="AC354" s="2">
        <v>0</v>
      </c>
      <c r="AD354" s="2"/>
      <c r="AE354" s="2" t="s">
        <v>46</v>
      </c>
      <c r="AF354" s="2">
        <v>0</v>
      </c>
      <c r="AG354" s="2">
        <v>0</v>
      </c>
      <c r="AH354" s="2" t="s">
        <v>434</v>
      </c>
      <c r="AI354" s="2" t="s">
        <v>43</v>
      </c>
      <c r="AJ354" s="2">
        <v>0</v>
      </c>
      <c r="AK354" s="2">
        <v>0</v>
      </c>
      <c r="AL354" s="2"/>
      <c r="AM354" s="2">
        <v>0</v>
      </c>
      <c r="AN354" s="2">
        <v>0</v>
      </c>
      <c r="AO354" s="2"/>
      <c r="AP354" s="2"/>
      <c r="AQ354" s="2" t="s">
        <v>48</v>
      </c>
      <c r="AR354" s="2" t="s">
        <v>881</v>
      </c>
      <c r="AS354" s="2" t="s">
        <v>1361</v>
      </c>
      <c r="AT354" s="2" t="s">
        <v>1362</v>
      </c>
      <c r="AU354" s="2" t="s">
        <v>1453</v>
      </c>
      <c r="AV354" s="2" t="s">
        <v>1420</v>
      </c>
      <c r="AW354" s="2">
        <v>4.3797164394000001</v>
      </c>
      <c r="AX354" s="2">
        <v>50.861346918499997</v>
      </c>
    </row>
    <row r="355" spans="2:50" x14ac:dyDescent="0.25">
      <c r="B355" s="2">
        <v>359</v>
      </c>
      <c r="C355" s="2">
        <v>2150628</v>
      </c>
      <c r="D355" s="2" t="s">
        <v>436</v>
      </c>
      <c r="E355" s="2">
        <v>54</v>
      </c>
      <c r="F355" s="2">
        <v>0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f>SUM(parking_data_1030[[#This Row],[Résidenti]:[Autres]])</f>
        <v>54</v>
      </c>
      <c r="R355" s="2">
        <v>0</v>
      </c>
      <c r="S355" s="2">
        <v>0</v>
      </c>
      <c r="T355" s="2" t="s">
        <v>43</v>
      </c>
      <c r="U355" s="2" t="s">
        <v>54</v>
      </c>
      <c r="V355" s="2" t="s">
        <v>45</v>
      </c>
      <c r="W355" s="2">
        <v>1</v>
      </c>
      <c r="X355" s="2">
        <v>1</v>
      </c>
      <c r="Y355" s="2">
        <v>0</v>
      </c>
      <c r="Z355" s="2">
        <v>0</v>
      </c>
      <c r="AA355" s="2">
        <v>0</v>
      </c>
      <c r="AB355" s="2"/>
      <c r="AC355" s="2">
        <v>0</v>
      </c>
      <c r="AD355" s="2"/>
      <c r="AE355" s="2" t="s">
        <v>46</v>
      </c>
      <c r="AF355" s="2">
        <v>0</v>
      </c>
      <c r="AG355" s="2">
        <v>0</v>
      </c>
      <c r="AH355" s="2"/>
      <c r="AI355" s="2" t="s">
        <v>43</v>
      </c>
      <c r="AJ355" s="2">
        <v>0</v>
      </c>
      <c r="AK355" s="2">
        <v>0</v>
      </c>
      <c r="AL355" s="2"/>
      <c r="AM355" s="2">
        <v>0</v>
      </c>
      <c r="AN355" s="2">
        <v>0</v>
      </c>
      <c r="AO355" s="2"/>
      <c r="AP355" s="2"/>
      <c r="AQ355" s="2" t="s">
        <v>48</v>
      </c>
      <c r="AR355" s="2" t="s">
        <v>1374</v>
      </c>
      <c r="AS355" s="2" t="s">
        <v>1361</v>
      </c>
      <c r="AT355" s="2" t="s">
        <v>1362</v>
      </c>
      <c r="AU355" s="2" t="s">
        <v>1454</v>
      </c>
      <c r="AV355" s="2" t="s">
        <v>1420</v>
      </c>
      <c r="AW355" s="2">
        <v>4.3799669860000003</v>
      </c>
      <c r="AX355" s="2">
        <v>50.86004792</v>
      </c>
    </row>
    <row r="356" spans="2:50" x14ac:dyDescent="0.25">
      <c r="B356" s="2">
        <v>360</v>
      </c>
      <c r="C356" s="2">
        <v>2133456</v>
      </c>
      <c r="D356" s="2" t="s">
        <v>437</v>
      </c>
      <c r="E356" s="2">
        <v>30</v>
      </c>
      <c r="F356" s="2">
        <v>0</v>
      </c>
      <c r="G356" s="2">
        <v>0</v>
      </c>
      <c r="H356" s="2">
        <v>0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 s="2">
        <v>0</v>
      </c>
      <c r="O356" s="2">
        <v>0</v>
      </c>
      <c r="P356" s="2">
        <v>0</v>
      </c>
      <c r="Q356" s="2">
        <f>SUM(parking_data_1030[[#This Row],[Résidenti]:[Autres]])</f>
        <v>30</v>
      </c>
      <c r="R356" s="2">
        <v>0</v>
      </c>
      <c r="S356" s="2">
        <v>0</v>
      </c>
      <c r="T356" s="2" t="s">
        <v>43</v>
      </c>
      <c r="U356" s="2" t="s">
        <v>54</v>
      </c>
      <c r="V356" s="2" t="s">
        <v>45</v>
      </c>
      <c r="W356" s="2">
        <v>1</v>
      </c>
      <c r="X356" s="2">
        <v>1</v>
      </c>
      <c r="Y356" s="2">
        <v>0</v>
      </c>
      <c r="Z356" s="2">
        <v>0</v>
      </c>
      <c r="AA356" s="2">
        <v>0</v>
      </c>
      <c r="AB356" s="2"/>
      <c r="AC356" s="2">
        <v>0</v>
      </c>
      <c r="AD356" s="2"/>
      <c r="AE356" s="2" t="s">
        <v>46</v>
      </c>
      <c r="AF356" s="2">
        <v>0</v>
      </c>
      <c r="AG356" s="2">
        <v>0</v>
      </c>
      <c r="AH356" s="2"/>
      <c r="AI356" s="2" t="s">
        <v>43</v>
      </c>
      <c r="AJ356" s="2">
        <v>0</v>
      </c>
      <c r="AK356" s="2">
        <v>0</v>
      </c>
      <c r="AL356" s="2"/>
      <c r="AM356" s="2">
        <v>0</v>
      </c>
      <c r="AN356" s="2">
        <v>0</v>
      </c>
      <c r="AO356" s="2"/>
      <c r="AP356" s="2"/>
      <c r="AQ356" s="2" t="s">
        <v>48</v>
      </c>
      <c r="AR356" s="2" t="s">
        <v>1455</v>
      </c>
      <c r="AS356" s="2" t="s">
        <v>1361</v>
      </c>
      <c r="AT356" s="2" t="s">
        <v>1362</v>
      </c>
      <c r="AU356" s="2" t="s">
        <v>1454</v>
      </c>
      <c r="AV356" s="2" t="s">
        <v>1420</v>
      </c>
      <c r="AW356" s="2">
        <v>4.3793761659000001</v>
      </c>
      <c r="AX356" s="2">
        <v>50.8596036434</v>
      </c>
    </row>
    <row r="357" spans="2:50" x14ac:dyDescent="0.25">
      <c r="B357" s="2">
        <v>124</v>
      </c>
      <c r="C357" s="2">
        <v>2164045</v>
      </c>
      <c r="D357" s="2" t="s">
        <v>721</v>
      </c>
      <c r="E357" s="2">
        <v>41</v>
      </c>
      <c r="F357" s="2">
        <v>0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f>SUM(parking_data_1030[[#This Row],[Résidenti]:[Autres]])</f>
        <v>41</v>
      </c>
      <c r="R357" s="2">
        <v>0</v>
      </c>
      <c r="S357" s="2">
        <v>0</v>
      </c>
      <c r="T357" s="2" t="s">
        <v>43</v>
      </c>
      <c r="U357" s="2" t="s">
        <v>76</v>
      </c>
      <c r="V357" s="2" t="s">
        <v>45</v>
      </c>
      <c r="W357" s="2">
        <v>1</v>
      </c>
      <c r="X357" s="2">
        <v>1</v>
      </c>
      <c r="Y357" s="2">
        <v>0</v>
      </c>
      <c r="Z357" s="2">
        <v>0</v>
      </c>
      <c r="AA357" s="2">
        <v>0</v>
      </c>
      <c r="AB357" s="2"/>
      <c r="AC357" s="2">
        <v>0</v>
      </c>
      <c r="AD357" s="2"/>
      <c r="AE357" s="2" t="s">
        <v>46</v>
      </c>
      <c r="AF357" s="2">
        <v>0</v>
      </c>
      <c r="AG357" s="2">
        <v>0</v>
      </c>
      <c r="AH357" s="2"/>
      <c r="AI357" s="2" t="s">
        <v>43</v>
      </c>
      <c r="AJ357" s="2">
        <v>0</v>
      </c>
      <c r="AK357" s="2">
        <v>0</v>
      </c>
      <c r="AL357" s="2"/>
      <c r="AM357" s="2">
        <v>0</v>
      </c>
      <c r="AN357" s="2">
        <v>0</v>
      </c>
      <c r="AO357" s="2"/>
      <c r="AP357" s="2"/>
      <c r="AQ357" s="2" t="s">
        <v>48</v>
      </c>
      <c r="AR357" s="2" t="s">
        <v>837</v>
      </c>
      <c r="AS357" s="2" t="s">
        <v>1104</v>
      </c>
      <c r="AT357" s="2" t="s">
        <v>1105</v>
      </c>
      <c r="AU357" s="2" t="s">
        <v>1103</v>
      </c>
      <c r="AV357" s="2" t="s">
        <v>1058</v>
      </c>
      <c r="AW357" s="2">
        <v>4.3985811585999999</v>
      </c>
      <c r="AX357" s="2">
        <v>50.857214517199999</v>
      </c>
    </row>
    <row r="358" spans="2:50" x14ac:dyDescent="0.25">
      <c r="B358" s="2">
        <v>385</v>
      </c>
      <c r="C358" s="2">
        <v>2131824</v>
      </c>
      <c r="D358" s="2" t="s">
        <v>380</v>
      </c>
      <c r="E358" s="2">
        <v>18</v>
      </c>
      <c r="F358" s="2">
        <v>0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f>SUM(parking_data_1030[[#This Row],[Résidenti]:[Autres]])</f>
        <v>18</v>
      </c>
      <c r="R358" s="2">
        <v>0</v>
      </c>
      <c r="S358" s="2">
        <v>0</v>
      </c>
      <c r="T358" s="2" t="s">
        <v>43</v>
      </c>
      <c r="U358" s="2" t="s">
        <v>64</v>
      </c>
      <c r="V358" s="2" t="s">
        <v>45</v>
      </c>
      <c r="W358" s="2">
        <v>1</v>
      </c>
      <c r="X358" s="2">
        <v>1</v>
      </c>
      <c r="Y358" s="2">
        <v>0</v>
      </c>
      <c r="Z358" s="2">
        <v>0</v>
      </c>
      <c r="AA358" s="2">
        <v>0</v>
      </c>
      <c r="AB358" s="2"/>
      <c r="AC358" s="2">
        <v>0</v>
      </c>
      <c r="AD358" s="2"/>
      <c r="AE358" s="2" t="s">
        <v>46</v>
      </c>
      <c r="AF358" s="2">
        <v>0</v>
      </c>
      <c r="AG358" s="2">
        <v>0</v>
      </c>
      <c r="AH358" s="2"/>
      <c r="AI358" s="2" t="s">
        <v>43</v>
      </c>
      <c r="AJ358" s="2">
        <v>0</v>
      </c>
      <c r="AK358" s="2">
        <v>0</v>
      </c>
      <c r="AL358" s="2"/>
      <c r="AM358" s="2">
        <v>0</v>
      </c>
      <c r="AN358" s="2">
        <v>0</v>
      </c>
      <c r="AO358" s="2"/>
      <c r="AP358" s="2"/>
      <c r="AQ358" s="2" t="s">
        <v>48</v>
      </c>
      <c r="AR358" s="2" t="s">
        <v>854</v>
      </c>
      <c r="AS358" s="2" t="s">
        <v>1497</v>
      </c>
      <c r="AT358" s="2" t="s">
        <v>1498</v>
      </c>
      <c r="AU358" s="2" t="s">
        <v>1499</v>
      </c>
      <c r="AV358" s="2" t="s">
        <v>1170</v>
      </c>
      <c r="AW358" s="2">
        <v>4.3673052164000001</v>
      </c>
      <c r="AX358" s="2">
        <v>50.869444571599999</v>
      </c>
    </row>
    <row r="359" spans="2:50" x14ac:dyDescent="0.25">
      <c r="B359" s="2">
        <v>386</v>
      </c>
      <c r="C359" s="2">
        <v>2169384</v>
      </c>
      <c r="D359" s="2" t="s">
        <v>381</v>
      </c>
      <c r="E359" s="2">
        <v>16</v>
      </c>
      <c r="F359" s="2">
        <v>0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f>SUM(parking_data_1030[[#This Row],[Résidenti]:[Autres]])</f>
        <v>16</v>
      </c>
      <c r="R359" s="2">
        <v>0</v>
      </c>
      <c r="S359" s="2">
        <v>0</v>
      </c>
      <c r="T359" s="2" t="s">
        <v>43</v>
      </c>
      <c r="U359" s="2" t="s">
        <v>76</v>
      </c>
      <c r="V359" s="2" t="s">
        <v>45</v>
      </c>
      <c r="W359" s="2">
        <v>1</v>
      </c>
      <c r="X359" s="2">
        <v>0</v>
      </c>
      <c r="Y359" s="2">
        <v>0</v>
      </c>
      <c r="Z359" s="2">
        <v>0</v>
      </c>
      <c r="AA359" s="2">
        <v>0</v>
      </c>
      <c r="AB359" s="2"/>
      <c r="AC359" s="2">
        <v>0</v>
      </c>
      <c r="AD359" s="2"/>
      <c r="AE359" s="2" t="s">
        <v>106</v>
      </c>
      <c r="AF359" s="2">
        <v>0</v>
      </c>
      <c r="AG359" s="2">
        <v>0</v>
      </c>
      <c r="AH359" s="2" t="s">
        <v>382</v>
      </c>
      <c r="AI359" s="2" t="s">
        <v>43</v>
      </c>
      <c r="AJ359" s="2">
        <v>0</v>
      </c>
      <c r="AK359" s="2">
        <v>0</v>
      </c>
      <c r="AL359" s="2"/>
      <c r="AM359" s="2">
        <v>0</v>
      </c>
      <c r="AN359" s="2">
        <v>0</v>
      </c>
      <c r="AO359" s="2"/>
      <c r="AP359" s="2"/>
      <c r="AQ359" s="2" t="s">
        <v>48</v>
      </c>
      <c r="AR359" s="2" t="s">
        <v>1384</v>
      </c>
      <c r="AS359" s="2" t="s">
        <v>1497</v>
      </c>
      <c r="AT359" s="2" t="s">
        <v>1498</v>
      </c>
      <c r="AU359" s="2" t="s">
        <v>1499</v>
      </c>
      <c r="AV359" s="2" t="s">
        <v>1170</v>
      </c>
      <c r="AW359" s="2">
        <v>4.3663046532000003</v>
      </c>
      <c r="AX359" s="2">
        <v>50.869061868800003</v>
      </c>
    </row>
    <row r="360" spans="2:50" x14ac:dyDescent="0.25">
      <c r="B360" s="2">
        <v>387</v>
      </c>
      <c r="C360" s="2">
        <v>2169380</v>
      </c>
      <c r="D360" s="2" t="s">
        <v>610</v>
      </c>
      <c r="E360" s="2">
        <v>22</v>
      </c>
      <c r="F360" s="2">
        <v>0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f>SUM(parking_data_1030[[#This Row],[Résidenti]:[Autres]])</f>
        <v>22</v>
      </c>
      <c r="R360" s="2">
        <v>0</v>
      </c>
      <c r="S360" s="2">
        <v>0</v>
      </c>
      <c r="T360" s="2" t="s">
        <v>43</v>
      </c>
      <c r="U360" s="2" t="s">
        <v>76</v>
      </c>
      <c r="V360" s="2" t="s">
        <v>45</v>
      </c>
      <c r="W360" s="2">
        <v>1</v>
      </c>
      <c r="X360" s="2">
        <v>1</v>
      </c>
      <c r="Y360" s="2">
        <v>0</v>
      </c>
      <c r="Z360" s="2">
        <v>0</v>
      </c>
      <c r="AA360" s="2">
        <v>1</v>
      </c>
      <c r="AB360" s="2" t="s">
        <v>60</v>
      </c>
      <c r="AC360" s="2">
        <v>0</v>
      </c>
      <c r="AD360" s="2"/>
      <c r="AE360" s="2" t="s">
        <v>46</v>
      </c>
      <c r="AF360" s="2">
        <v>0</v>
      </c>
      <c r="AG360" s="2">
        <v>0</v>
      </c>
      <c r="AH360" s="2" t="s">
        <v>611</v>
      </c>
      <c r="AI360" s="2" t="s">
        <v>43</v>
      </c>
      <c r="AJ360" s="2">
        <v>0</v>
      </c>
      <c r="AK360" s="2">
        <v>0</v>
      </c>
      <c r="AL360" s="2"/>
      <c r="AM360" s="2">
        <v>0</v>
      </c>
      <c r="AN360" s="2">
        <v>0</v>
      </c>
      <c r="AO360" s="2"/>
      <c r="AP360" s="2"/>
      <c r="AQ360" s="2" t="s">
        <v>48</v>
      </c>
      <c r="AR360" s="2" t="s">
        <v>1174</v>
      </c>
      <c r="AS360" s="2" t="s">
        <v>1497</v>
      </c>
      <c r="AT360" s="2" t="s">
        <v>1498</v>
      </c>
      <c r="AU360" s="2" t="s">
        <v>1499</v>
      </c>
      <c r="AV360" s="2" t="s">
        <v>1170</v>
      </c>
      <c r="AW360" s="2">
        <v>4.3659817948999997</v>
      </c>
      <c r="AX360" s="2">
        <v>50.868580910200002</v>
      </c>
    </row>
    <row r="361" spans="2:50" x14ac:dyDescent="0.25">
      <c r="B361" s="2">
        <v>388</v>
      </c>
      <c r="C361" s="2">
        <v>2169378</v>
      </c>
      <c r="D361" s="2" t="s">
        <v>612</v>
      </c>
      <c r="E361" s="2">
        <v>0</v>
      </c>
      <c r="F361" s="2">
        <v>0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f>SUM(parking_data_1030[[#This Row],[Résidenti]:[Autres]])</f>
        <v>0</v>
      </c>
      <c r="R361" s="2">
        <v>0</v>
      </c>
      <c r="S361" s="2">
        <v>0</v>
      </c>
      <c r="T361" s="2" t="s">
        <v>43</v>
      </c>
      <c r="U361" s="2" t="s">
        <v>44</v>
      </c>
      <c r="V361" s="2" t="s">
        <v>45</v>
      </c>
      <c r="W361" s="2">
        <v>0</v>
      </c>
      <c r="X361" s="2">
        <v>0</v>
      </c>
      <c r="Y361" s="2">
        <v>0</v>
      </c>
      <c r="Z361" s="2">
        <v>1</v>
      </c>
      <c r="AA361" s="2">
        <v>0</v>
      </c>
      <c r="AB361" s="2" t="s">
        <v>60</v>
      </c>
      <c r="AC361" s="2">
        <v>0</v>
      </c>
      <c r="AD361" s="2"/>
      <c r="AE361" s="2" t="s">
        <v>46</v>
      </c>
      <c r="AF361" s="2">
        <v>0</v>
      </c>
      <c r="AG361" s="2">
        <v>0</v>
      </c>
      <c r="AH361" s="2" t="s">
        <v>613</v>
      </c>
      <c r="AI361" s="2" t="s">
        <v>79</v>
      </c>
      <c r="AJ361" s="2">
        <v>0</v>
      </c>
      <c r="AK361" s="2">
        <v>0</v>
      </c>
      <c r="AL361" s="2" t="s">
        <v>193</v>
      </c>
      <c r="AM361" s="2">
        <v>0</v>
      </c>
      <c r="AN361" s="2">
        <v>0</v>
      </c>
      <c r="AO361" s="2"/>
      <c r="AP361" s="2"/>
      <c r="AQ361" s="2" t="s">
        <v>48</v>
      </c>
      <c r="AR361" s="2" t="s">
        <v>1066</v>
      </c>
      <c r="AS361" s="2" t="s">
        <v>1497</v>
      </c>
      <c r="AT361" s="2" t="s">
        <v>1498</v>
      </c>
      <c r="AU361" s="2" t="s">
        <v>1499</v>
      </c>
      <c r="AV361" s="2" t="s">
        <v>1170</v>
      </c>
      <c r="AW361" s="2">
        <v>4.3659075136999999</v>
      </c>
      <c r="AX361" s="2">
        <v>50.868387442600003</v>
      </c>
    </row>
    <row r="362" spans="2:50" x14ac:dyDescent="0.25">
      <c r="B362" s="2">
        <v>441</v>
      </c>
      <c r="C362" s="2">
        <v>2134801</v>
      </c>
      <c r="D362" s="2" t="s">
        <v>648</v>
      </c>
      <c r="E362" s="2">
        <v>46</v>
      </c>
      <c r="F362" s="2">
        <v>0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f>SUM(parking_data_1030[[#This Row],[Résidenti]:[Autres]])</f>
        <v>46</v>
      </c>
      <c r="R362" s="2">
        <v>0</v>
      </c>
      <c r="S362" s="2">
        <v>0</v>
      </c>
      <c r="T362" s="2" t="s">
        <v>43</v>
      </c>
      <c r="U362" s="2" t="s">
        <v>64</v>
      </c>
      <c r="V362" s="2" t="s">
        <v>59</v>
      </c>
      <c r="W362" s="2">
        <v>1</v>
      </c>
      <c r="X362" s="2">
        <v>1</v>
      </c>
      <c r="Y362" s="2">
        <v>0</v>
      </c>
      <c r="Z362" s="2">
        <v>0</v>
      </c>
      <c r="AA362" s="2">
        <v>0</v>
      </c>
      <c r="AB362" s="2"/>
      <c r="AC362" s="2">
        <v>0</v>
      </c>
      <c r="AD362" s="2"/>
      <c r="AE362" s="2" t="s">
        <v>46</v>
      </c>
      <c r="AF362" s="2">
        <v>0</v>
      </c>
      <c r="AG362" s="2">
        <v>0</v>
      </c>
      <c r="AH362" s="2"/>
      <c r="AI362" s="2" t="s">
        <v>43</v>
      </c>
      <c r="AJ362" s="2">
        <v>0</v>
      </c>
      <c r="AK362" s="2">
        <v>0</v>
      </c>
      <c r="AL362" s="2"/>
      <c r="AM362" s="2">
        <v>0</v>
      </c>
      <c r="AN362" s="2">
        <v>0</v>
      </c>
      <c r="AO362" s="2"/>
      <c r="AP362" s="2"/>
      <c r="AQ362" s="2" t="s">
        <v>48</v>
      </c>
      <c r="AR362" s="2" t="s">
        <v>968</v>
      </c>
      <c r="AS362" s="2" t="s">
        <v>1561</v>
      </c>
      <c r="AT362" s="2" t="s">
        <v>1562</v>
      </c>
      <c r="AU362" s="2" t="s">
        <v>1563</v>
      </c>
      <c r="AV362" s="2" t="s">
        <v>911</v>
      </c>
      <c r="AW362" s="2">
        <v>4.3623104891000004</v>
      </c>
      <c r="AX362" s="2">
        <v>50.865787730599997</v>
      </c>
    </row>
    <row r="363" spans="2:50" x14ac:dyDescent="0.25">
      <c r="B363" s="2">
        <v>412</v>
      </c>
      <c r="C363" s="2">
        <v>2170990</v>
      </c>
      <c r="D363" s="2" t="s">
        <v>571</v>
      </c>
      <c r="E363" s="2">
        <v>0</v>
      </c>
      <c r="F363" s="2">
        <v>0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f>SUM(parking_data_1030[[#This Row],[Résidenti]:[Autres]])</f>
        <v>0</v>
      </c>
      <c r="R363" s="2">
        <v>0</v>
      </c>
      <c r="S363" s="2">
        <v>0</v>
      </c>
      <c r="T363" s="2" t="s">
        <v>43</v>
      </c>
      <c r="U363" s="2" t="s">
        <v>44</v>
      </c>
      <c r="V363" s="2" t="s">
        <v>45</v>
      </c>
      <c r="W363" s="2">
        <v>0</v>
      </c>
      <c r="X363" s="2">
        <v>0</v>
      </c>
      <c r="Y363" s="2">
        <v>0</v>
      </c>
      <c r="Z363" s="2">
        <v>1</v>
      </c>
      <c r="AA363" s="2">
        <v>0</v>
      </c>
      <c r="AB363" s="2" t="s">
        <v>60</v>
      </c>
      <c r="AC363" s="2">
        <v>0</v>
      </c>
      <c r="AD363" s="2"/>
      <c r="AE363" s="2" t="s">
        <v>46</v>
      </c>
      <c r="AF363" s="2">
        <v>0</v>
      </c>
      <c r="AG363" s="2">
        <v>0</v>
      </c>
      <c r="AH363" s="2" t="s">
        <v>572</v>
      </c>
      <c r="AI363" s="2" t="s">
        <v>79</v>
      </c>
      <c r="AJ363" s="2">
        <v>0</v>
      </c>
      <c r="AK363" s="2">
        <v>0</v>
      </c>
      <c r="AL363" s="2"/>
      <c r="AM363" s="2">
        <v>0</v>
      </c>
      <c r="AN363" s="2">
        <v>0</v>
      </c>
      <c r="AO363" s="2"/>
      <c r="AP363" s="2"/>
      <c r="AQ363" s="2" t="s">
        <v>48</v>
      </c>
      <c r="AR363" s="2" t="s">
        <v>931</v>
      </c>
      <c r="AS363" s="2" t="s">
        <v>1531</v>
      </c>
      <c r="AT363" s="2" t="s">
        <v>1532</v>
      </c>
      <c r="AU363" s="2" t="s">
        <v>1533</v>
      </c>
      <c r="AV363" s="2" t="s">
        <v>1170</v>
      </c>
      <c r="AW363" s="2">
        <v>4.3751465678999999</v>
      </c>
      <c r="AX363" s="2">
        <v>50.8729129102</v>
      </c>
    </row>
    <row r="364" spans="2:50" x14ac:dyDescent="0.25">
      <c r="B364" s="2">
        <v>413</v>
      </c>
      <c r="C364" s="2">
        <v>2172759</v>
      </c>
      <c r="D364" s="2" t="s">
        <v>573</v>
      </c>
      <c r="E364" s="2">
        <v>0</v>
      </c>
      <c r="F364" s="2">
        <v>0</v>
      </c>
      <c r="G364" s="2">
        <v>0</v>
      </c>
      <c r="H364" s="2">
        <v>0</v>
      </c>
      <c r="I364" s="2">
        <v>25</v>
      </c>
      <c r="J364" s="2">
        <v>0</v>
      </c>
      <c r="K364" s="2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  <c r="Q364" s="2">
        <f>SUM(parking_data_1030[[#This Row],[Résidenti]:[Autres]])</f>
        <v>25</v>
      </c>
      <c r="R364" s="2">
        <v>0</v>
      </c>
      <c r="S364" s="2">
        <v>0</v>
      </c>
      <c r="T364" s="2" t="s">
        <v>43</v>
      </c>
      <c r="U364" s="2" t="s">
        <v>44</v>
      </c>
      <c r="V364" s="2" t="s">
        <v>45</v>
      </c>
      <c r="W364" s="2">
        <v>0</v>
      </c>
      <c r="X364" s="2">
        <v>1</v>
      </c>
      <c r="Y364" s="2">
        <v>0</v>
      </c>
      <c r="Z364" s="2">
        <v>1</v>
      </c>
      <c r="AA364" s="2">
        <v>0</v>
      </c>
      <c r="AB364" s="2"/>
      <c r="AC364" s="2">
        <v>0</v>
      </c>
      <c r="AD364" s="2"/>
      <c r="AE364" s="2" t="s">
        <v>46</v>
      </c>
      <c r="AF364" s="2">
        <v>0</v>
      </c>
      <c r="AG364" s="2">
        <v>0</v>
      </c>
      <c r="AH364" s="2" t="s">
        <v>120</v>
      </c>
      <c r="AI364" s="2" t="s">
        <v>43</v>
      </c>
      <c r="AJ364" s="2">
        <v>0</v>
      </c>
      <c r="AK364" s="2">
        <v>25</v>
      </c>
      <c r="AL364" s="2" t="s">
        <v>574</v>
      </c>
      <c r="AM364" s="2">
        <v>0</v>
      </c>
      <c r="AN364" s="2">
        <v>0</v>
      </c>
      <c r="AO364" s="2"/>
      <c r="AP364" s="2"/>
      <c r="AQ364" s="2" t="s">
        <v>48</v>
      </c>
      <c r="AR364" s="2" t="s">
        <v>1442</v>
      </c>
      <c r="AS364" s="2" t="s">
        <v>1531</v>
      </c>
      <c r="AT364" s="2" t="s">
        <v>1532</v>
      </c>
      <c r="AU364" s="2" t="s">
        <v>1534</v>
      </c>
      <c r="AV364" s="2" t="s">
        <v>1170</v>
      </c>
      <c r="AW364" s="2">
        <v>4.3755654261999997</v>
      </c>
      <c r="AX364" s="2">
        <v>50.872972363499997</v>
      </c>
    </row>
    <row r="365" spans="2:50" x14ac:dyDescent="0.25">
      <c r="B365" s="2">
        <v>415</v>
      </c>
      <c r="C365" s="2">
        <v>2132079</v>
      </c>
      <c r="D365" s="2" t="s">
        <v>576</v>
      </c>
      <c r="E365" s="2">
        <v>105</v>
      </c>
      <c r="F365" s="2">
        <v>0</v>
      </c>
      <c r="G365" s="2">
        <v>0</v>
      </c>
      <c r="H365" s="2">
        <v>0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 s="2">
        <v>0</v>
      </c>
      <c r="O365" s="2">
        <v>0</v>
      </c>
      <c r="P365" s="2">
        <v>0</v>
      </c>
      <c r="Q365" s="2">
        <f>SUM(parking_data_1030[[#This Row],[Résidenti]:[Autres]])</f>
        <v>105</v>
      </c>
      <c r="R365" s="2">
        <v>0</v>
      </c>
      <c r="S365" s="2">
        <v>0</v>
      </c>
      <c r="T365" s="2" t="s">
        <v>43</v>
      </c>
      <c r="U365" s="2" t="s">
        <v>76</v>
      </c>
      <c r="V365" s="2" t="s">
        <v>45</v>
      </c>
      <c r="W365" s="2">
        <v>1</v>
      </c>
      <c r="X365" s="2">
        <v>0</v>
      </c>
      <c r="Y365" s="2">
        <v>0</v>
      </c>
      <c r="Z365" s="2">
        <v>0</v>
      </c>
      <c r="AA365" s="2">
        <v>0</v>
      </c>
      <c r="AB365" s="2" t="s">
        <v>60</v>
      </c>
      <c r="AC365" s="2">
        <v>0</v>
      </c>
      <c r="AD365" s="2"/>
      <c r="AE365" s="2" t="s">
        <v>46</v>
      </c>
      <c r="AF365" s="2">
        <v>0</v>
      </c>
      <c r="AG365" s="2">
        <v>0</v>
      </c>
      <c r="AH365" s="2" t="s">
        <v>577</v>
      </c>
      <c r="AI365" s="2" t="s">
        <v>43</v>
      </c>
      <c r="AJ365" s="2">
        <v>0</v>
      </c>
      <c r="AK365" s="2">
        <v>0</v>
      </c>
      <c r="AL365" s="2"/>
      <c r="AM365" s="2">
        <v>0</v>
      </c>
      <c r="AN365" s="2">
        <v>0</v>
      </c>
      <c r="AO365" s="2"/>
      <c r="AP365" s="2"/>
      <c r="AQ365" s="2" t="s">
        <v>48</v>
      </c>
      <c r="AR365" s="2" t="s">
        <v>1537</v>
      </c>
      <c r="AS365" s="2" t="s">
        <v>1531</v>
      </c>
      <c r="AT365" s="2" t="s">
        <v>1532</v>
      </c>
      <c r="AU365" s="2" t="s">
        <v>1538</v>
      </c>
      <c r="AV365" s="2" t="s">
        <v>1170</v>
      </c>
      <c r="AW365" s="2">
        <v>4.3748523714000003</v>
      </c>
      <c r="AX365" s="2">
        <v>50.873843643299999</v>
      </c>
    </row>
    <row r="366" spans="2:50" x14ac:dyDescent="0.25">
      <c r="B366" s="2">
        <v>367</v>
      </c>
      <c r="C366" s="2">
        <v>2134642</v>
      </c>
      <c r="D366" s="2" t="s">
        <v>418</v>
      </c>
      <c r="E366" s="2">
        <v>0</v>
      </c>
      <c r="F366" s="2">
        <v>0</v>
      </c>
      <c r="G366" s="2">
        <v>0</v>
      </c>
      <c r="H366" s="2">
        <v>0</v>
      </c>
      <c r="I366" s="2">
        <v>0</v>
      </c>
      <c r="J366" s="2">
        <v>0</v>
      </c>
      <c r="K366" s="2">
        <v>33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f>SUM(parking_data_1030[[#This Row],[Résidenti]:[Autres]])</f>
        <v>33</v>
      </c>
      <c r="R366" s="2">
        <v>0</v>
      </c>
      <c r="S366" s="2">
        <v>0</v>
      </c>
      <c r="T366" s="2" t="s">
        <v>43</v>
      </c>
      <c r="U366" s="2" t="s">
        <v>64</v>
      </c>
      <c r="V366" s="2" t="s">
        <v>45</v>
      </c>
      <c r="W366" s="2">
        <v>1</v>
      </c>
      <c r="X366" s="2">
        <v>0</v>
      </c>
      <c r="Y366" s="2">
        <v>1</v>
      </c>
      <c r="Z366" s="2">
        <v>0</v>
      </c>
      <c r="AA366" s="2">
        <v>1</v>
      </c>
      <c r="AB366" s="2"/>
      <c r="AC366" s="2">
        <v>0</v>
      </c>
      <c r="AD366" s="3">
        <v>48355</v>
      </c>
      <c r="AE366" s="2" t="s">
        <v>52</v>
      </c>
      <c r="AF366" s="2">
        <v>0</v>
      </c>
      <c r="AG366" s="2">
        <v>0</v>
      </c>
      <c r="AH366" s="2" t="s">
        <v>419</v>
      </c>
      <c r="AI366" s="2" t="s">
        <v>43</v>
      </c>
      <c r="AJ366" s="2">
        <v>0</v>
      </c>
      <c r="AK366" s="2">
        <v>33</v>
      </c>
      <c r="AL366" s="2" t="s">
        <v>420</v>
      </c>
      <c r="AM366" s="2">
        <v>2</v>
      </c>
      <c r="AN366" s="2">
        <v>1</v>
      </c>
      <c r="AO366" s="2" t="s">
        <v>421</v>
      </c>
      <c r="AP366" s="2" t="s">
        <v>422</v>
      </c>
      <c r="AQ366" s="2" t="s">
        <v>70</v>
      </c>
      <c r="AR366" s="2" t="s">
        <v>1389</v>
      </c>
      <c r="AS366" s="2" t="s">
        <v>1468</v>
      </c>
      <c r="AT366" s="2" t="s">
        <v>1469</v>
      </c>
      <c r="AU366" s="2" t="s">
        <v>1470</v>
      </c>
      <c r="AV366" s="2" t="s">
        <v>897</v>
      </c>
      <c r="AW366" s="2">
        <v>4.3676012752000002</v>
      </c>
      <c r="AX366" s="2">
        <v>50.859177916299998</v>
      </c>
    </row>
    <row r="367" spans="2:50" x14ac:dyDescent="0.25">
      <c r="B367" s="2">
        <v>414</v>
      </c>
      <c r="C367" s="2">
        <v>2172809</v>
      </c>
      <c r="D367" s="2" t="s">
        <v>575</v>
      </c>
      <c r="E367" s="2">
        <v>15</v>
      </c>
      <c r="F367" s="2">
        <v>0</v>
      </c>
      <c r="G367" s="2">
        <v>0</v>
      </c>
      <c r="H367" s="2">
        <v>0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 s="2">
        <v>0</v>
      </c>
      <c r="O367" s="2">
        <v>0</v>
      </c>
      <c r="P367" s="2">
        <v>0</v>
      </c>
      <c r="Q367" s="2">
        <f>SUM(parking_data_1030[[#This Row],[Résidenti]:[Autres]])</f>
        <v>15</v>
      </c>
      <c r="R367" s="2">
        <v>0</v>
      </c>
      <c r="S367" s="2">
        <v>0</v>
      </c>
      <c r="T367" s="2" t="s">
        <v>43</v>
      </c>
      <c r="U367" s="2" t="s">
        <v>76</v>
      </c>
      <c r="V367" s="2" t="s">
        <v>45</v>
      </c>
      <c r="W367" s="2">
        <v>1</v>
      </c>
      <c r="X367" s="2">
        <v>1</v>
      </c>
      <c r="Y367" s="2">
        <v>0</v>
      </c>
      <c r="Z367" s="2">
        <v>0</v>
      </c>
      <c r="AA367" s="2">
        <v>0</v>
      </c>
      <c r="AB367" s="2"/>
      <c r="AC367" s="2">
        <v>0</v>
      </c>
      <c r="AD367" s="2"/>
      <c r="AE367" s="2" t="s">
        <v>46</v>
      </c>
      <c r="AF367" s="2">
        <v>0</v>
      </c>
      <c r="AG367" s="2">
        <v>0</v>
      </c>
      <c r="AH367" s="2"/>
      <c r="AI367" s="2" t="s">
        <v>43</v>
      </c>
      <c r="AJ367" s="2">
        <v>0</v>
      </c>
      <c r="AK367" s="2">
        <v>0</v>
      </c>
      <c r="AL367" s="2"/>
      <c r="AM367" s="2">
        <v>0</v>
      </c>
      <c r="AN367" s="2">
        <v>0</v>
      </c>
      <c r="AO367" s="2"/>
      <c r="AP367" s="2"/>
      <c r="AQ367" s="2" t="s">
        <v>48</v>
      </c>
      <c r="AR367" s="2" t="s">
        <v>1384</v>
      </c>
      <c r="AS367" s="2" t="s">
        <v>1535</v>
      </c>
      <c r="AT367" s="2" t="s">
        <v>1536</v>
      </c>
      <c r="AU367" s="2" t="s">
        <v>1534</v>
      </c>
      <c r="AV367" s="2" t="s">
        <v>1170</v>
      </c>
      <c r="AW367" s="2">
        <v>4.3765379299999996</v>
      </c>
      <c r="AX367" s="2">
        <v>50.872980208199998</v>
      </c>
    </row>
    <row r="368" spans="2:50" x14ac:dyDescent="0.25">
      <c r="B368" s="2">
        <v>44</v>
      </c>
      <c r="C368" s="2">
        <v>2180523</v>
      </c>
      <c r="D368" s="2" t="s">
        <v>124</v>
      </c>
      <c r="E368" s="2">
        <v>34</v>
      </c>
      <c r="F368" s="2">
        <v>0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f>SUM(parking_data_1030[[#This Row],[Résidenti]:[Autres]])</f>
        <v>34</v>
      </c>
      <c r="R368" s="2">
        <v>0</v>
      </c>
      <c r="S368" s="2">
        <v>0</v>
      </c>
      <c r="T368" s="2" t="s">
        <v>43</v>
      </c>
      <c r="U368" s="2" t="s">
        <v>54</v>
      </c>
      <c r="V368" s="2" t="s">
        <v>45</v>
      </c>
      <c r="W368" s="2">
        <v>1</v>
      </c>
      <c r="X368" s="2">
        <v>1</v>
      </c>
      <c r="Y368" s="2">
        <v>0</v>
      </c>
      <c r="Z368" s="2">
        <v>0</v>
      </c>
      <c r="AA368" s="2">
        <v>0</v>
      </c>
      <c r="AB368" s="2"/>
      <c r="AC368" s="2">
        <v>0</v>
      </c>
      <c r="AD368" s="2"/>
      <c r="AE368" s="2" t="s">
        <v>46</v>
      </c>
      <c r="AF368" s="2">
        <v>0</v>
      </c>
      <c r="AG368" s="2">
        <v>0</v>
      </c>
      <c r="AH368" s="2"/>
      <c r="AI368" s="2" t="s">
        <v>43</v>
      </c>
      <c r="AJ368" s="2">
        <v>0</v>
      </c>
      <c r="AK368" s="2">
        <v>0</v>
      </c>
      <c r="AL368" s="2"/>
      <c r="AM368" s="2">
        <v>0</v>
      </c>
      <c r="AN368" s="2">
        <v>0</v>
      </c>
      <c r="AO368" s="2"/>
      <c r="AP368" s="2"/>
      <c r="AQ368" s="2" t="s">
        <v>48</v>
      </c>
      <c r="AR368" s="2" t="s">
        <v>865</v>
      </c>
      <c r="AS368" s="2" t="s">
        <v>950</v>
      </c>
      <c r="AT368" s="2" t="s">
        <v>951</v>
      </c>
      <c r="AU368" s="2" t="s">
        <v>946</v>
      </c>
      <c r="AV368" s="2" t="s">
        <v>835</v>
      </c>
      <c r="AW368" s="2">
        <v>4.3917858183999998</v>
      </c>
      <c r="AX368" s="2">
        <v>50.873947553199997</v>
      </c>
    </row>
    <row r="369" spans="2:50" x14ac:dyDescent="0.25">
      <c r="B369" s="2">
        <v>45</v>
      </c>
      <c r="C369" s="2">
        <v>2179060</v>
      </c>
      <c r="D369" s="2" t="s">
        <v>125</v>
      </c>
      <c r="E369" s="2">
        <v>24</v>
      </c>
      <c r="F369" s="2">
        <v>0</v>
      </c>
      <c r="G369" s="2">
        <v>0</v>
      </c>
      <c r="H369" s="2">
        <v>0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 s="2">
        <v>0</v>
      </c>
      <c r="O369" s="2">
        <v>0</v>
      </c>
      <c r="P369" s="2">
        <v>0</v>
      </c>
      <c r="Q369" s="2">
        <f>SUM(parking_data_1030[[#This Row],[Résidenti]:[Autres]])</f>
        <v>24</v>
      </c>
      <c r="R369" s="2">
        <v>0</v>
      </c>
      <c r="S369" s="2">
        <v>0</v>
      </c>
      <c r="T369" s="2" t="s">
        <v>43</v>
      </c>
      <c r="U369" s="2" t="s">
        <v>76</v>
      </c>
      <c r="V369" s="2" t="s">
        <v>45</v>
      </c>
      <c r="W369" s="2">
        <v>1</v>
      </c>
      <c r="X369" s="2">
        <v>0</v>
      </c>
      <c r="Y369" s="2">
        <v>0</v>
      </c>
      <c r="Z369" s="2">
        <v>0</v>
      </c>
      <c r="AA369" s="2">
        <v>1</v>
      </c>
      <c r="AB369" s="2"/>
      <c r="AC369" s="2">
        <v>0</v>
      </c>
      <c r="AD369" s="2"/>
      <c r="AE369" s="2" t="s">
        <v>46</v>
      </c>
      <c r="AF369" s="2">
        <v>0</v>
      </c>
      <c r="AG369" s="2">
        <v>0</v>
      </c>
      <c r="AH369" s="2" t="s">
        <v>126</v>
      </c>
      <c r="AI369" s="2" t="s">
        <v>43</v>
      </c>
      <c r="AJ369" s="2">
        <v>0</v>
      </c>
      <c r="AK369" s="2">
        <v>0</v>
      </c>
      <c r="AL369" s="2"/>
      <c r="AM369" s="2">
        <v>0</v>
      </c>
      <c r="AN369" s="2">
        <v>0</v>
      </c>
      <c r="AO369" s="2"/>
      <c r="AP369" s="2"/>
      <c r="AQ369" s="2" t="s">
        <v>48</v>
      </c>
      <c r="AR369" s="2" t="s">
        <v>952</v>
      </c>
      <c r="AS369" s="2" t="s">
        <v>950</v>
      </c>
      <c r="AT369" s="2" t="s">
        <v>951</v>
      </c>
      <c r="AU369" s="2" t="s">
        <v>953</v>
      </c>
      <c r="AV369" s="2" t="s">
        <v>835</v>
      </c>
      <c r="AW369" s="2">
        <v>4.3899045770000003</v>
      </c>
      <c r="AX369" s="2">
        <v>50.874561867399997</v>
      </c>
    </row>
    <row r="370" spans="2:50" x14ac:dyDescent="0.25">
      <c r="B370" s="2">
        <v>239</v>
      </c>
      <c r="C370" s="2">
        <v>2154512</v>
      </c>
      <c r="D370" s="2" t="s">
        <v>212</v>
      </c>
      <c r="E370" s="2">
        <v>25</v>
      </c>
      <c r="F370" s="2">
        <v>0</v>
      </c>
      <c r="G370" s="2">
        <v>0</v>
      </c>
      <c r="H370" s="2">
        <v>0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 s="2">
        <v>0</v>
      </c>
      <c r="O370" s="2">
        <v>0</v>
      </c>
      <c r="P370" s="2">
        <v>0</v>
      </c>
      <c r="Q370" s="2">
        <f>SUM(parking_data_1030[[#This Row],[Résidenti]:[Autres]])</f>
        <v>25</v>
      </c>
      <c r="R370" s="2">
        <v>0</v>
      </c>
      <c r="S370" s="2">
        <v>0</v>
      </c>
      <c r="T370" s="2" t="s">
        <v>43</v>
      </c>
      <c r="U370" s="2" t="s">
        <v>54</v>
      </c>
      <c r="V370" s="2" t="s">
        <v>45</v>
      </c>
      <c r="W370" s="2">
        <v>0</v>
      </c>
      <c r="X370" s="2">
        <v>1</v>
      </c>
      <c r="Y370" s="2">
        <v>0</v>
      </c>
      <c r="Z370" s="2">
        <v>1</v>
      </c>
      <c r="AA370" s="2">
        <v>0</v>
      </c>
      <c r="AB370" s="2"/>
      <c r="AC370" s="2">
        <v>0</v>
      </c>
      <c r="AD370" s="2"/>
      <c r="AE370" s="2" t="s">
        <v>106</v>
      </c>
      <c r="AF370" s="2">
        <v>0</v>
      </c>
      <c r="AG370" s="2">
        <v>0</v>
      </c>
      <c r="AH370" s="2" t="s">
        <v>74</v>
      </c>
      <c r="AI370" s="2" t="s">
        <v>43</v>
      </c>
      <c r="AJ370" s="2">
        <v>0</v>
      </c>
      <c r="AK370" s="2">
        <v>0</v>
      </c>
      <c r="AL370" s="2"/>
      <c r="AM370" s="2">
        <v>0</v>
      </c>
      <c r="AN370" s="2">
        <v>0</v>
      </c>
      <c r="AO370" s="2"/>
      <c r="AP370" s="2"/>
      <c r="AQ370" s="2" t="s">
        <v>48</v>
      </c>
      <c r="AR370" s="2" t="s">
        <v>1185</v>
      </c>
      <c r="AS370" s="2" t="s">
        <v>1275</v>
      </c>
      <c r="AT370" s="2" t="s">
        <v>1276</v>
      </c>
      <c r="AU370" s="2" t="s">
        <v>1274</v>
      </c>
      <c r="AV370" s="2" t="s">
        <v>1142</v>
      </c>
      <c r="AW370" s="2">
        <v>4.3913592079999999</v>
      </c>
      <c r="AX370" s="2">
        <v>50.848849463000001</v>
      </c>
    </row>
    <row r="371" spans="2:50" x14ac:dyDescent="0.25">
      <c r="B371" s="2">
        <v>48</v>
      </c>
      <c r="C371" s="2">
        <v>3000143</v>
      </c>
      <c r="D371" s="2" t="s">
        <v>105</v>
      </c>
      <c r="E371" s="2">
        <v>0</v>
      </c>
      <c r="F371" s="2">
        <v>0</v>
      </c>
      <c r="G371" s="2">
        <v>0</v>
      </c>
      <c r="H371" s="2">
        <v>0</v>
      </c>
      <c r="I371" s="2">
        <v>15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f>SUM(parking_data_1030[[#This Row],[Résidenti]:[Autres]])</f>
        <v>15</v>
      </c>
      <c r="R371" s="2">
        <v>0</v>
      </c>
      <c r="S371" s="2">
        <v>0</v>
      </c>
      <c r="T371" s="2" t="s">
        <v>43</v>
      </c>
      <c r="U371" s="2" t="s">
        <v>76</v>
      </c>
      <c r="V371" s="2" t="s">
        <v>45</v>
      </c>
      <c r="W371" s="2">
        <v>0</v>
      </c>
      <c r="X371" s="2">
        <v>1</v>
      </c>
      <c r="Y371" s="2">
        <v>0</v>
      </c>
      <c r="Z371" s="2">
        <v>1</v>
      </c>
      <c r="AA371" s="2">
        <v>0</v>
      </c>
      <c r="AB371" s="2"/>
      <c r="AC371" s="2">
        <v>0</v>
      </c>
      <c r="AD371" s="2"/>
      <c r="AE371" s="2" t="s">
        <v>106</v>
      </c>
      <c r="AF371" s="2">
        <v>0</v>
      </c>
      <c r="AG371" s="2">
        <v>0</v>
      </c>
      <c r="AH371" s="2" t="s">
        <v>107</v>
      </c>
      <c r="AI371" s="2" t="s">
        <v>43</v>
      </c>
      <c r="AJ371" s="2">
        <v>0</v>
      </c>
      <c r="AK371" s="2">
        <v>15</v>
      </c>
      <c r="AL371" s="2"/>
      <c r="AM371" s="2">
        <v>0</v>
      </c>
      <c r="AN371" s="2">
        <v>0</v>
      </c>
      <c r="AO371" s="2"/>
      <c r="AP371" s="2"/>
      <c r="AQ371" s="2" t="s">
        <v>48</v>
      </c>
      <c r="AR371" s="2" t="s">
        <v>960</v>
      </c>
      <c r="AS371" s="2" t="s">
        <v>961</v>
      </c>
      <c r="AT371" s="2" t="s">
        <v>962</v>
      </c>
      <c r="AU371" s="2" t="s">
        <v>963</v>
      </c>
      <c r="AV371" s="2" t="s">
        <v>835</v>
      </c>
      <c r="AW371" s="2">
        <v>4.3931739873</v>
      </c>
      <c r="AX371" s="2">
        <v>50.871737285000002</v>
      </c>
    </row>
    <row r="372" spans="2:50" x14ac:dyDescent="0.25">
      <c r="B372" s="2">
        <v>51</v>
      </c>
      <c r="C372" s="2">
        <v>3000155</v>
      </c>
      <c r="D372" s="2" t="s">
        <v>109</v>
      </c>
      <c r="E372" s="2">
        <v>0</v>
      </c>
      <c r="F372" s="2">
        <v>0</v>
      </c>
      <c r="G372" s="2">
        <v>0</v>
      </c>
      <c r="H372" s="2">
        <v>0</v>
      </c>
      <c r="I372" s="2">
        <v>17</v>
      </c>
      <c r="J372" s="2">
        <v>6</v>
      </c>
      <c r="K372" s="2">
        <v>0</v>
      </c>
      <c r="L372" s="2">
        <v>0</v>
      </c>
      <c r="M372" s="2">
        <v>0</v>
      </c>
      <c r="N372" s="2">
        <v>0</v>
      </c>
      <c r="O372" s="2">
        <v>0</v>
      </c>
      <c r="P372" s="2">
        <v>0</v>
      </c>
      <c r="Q372" s="2">
        <f>SUM(parking_data_1030[[#This Row],[Résidenti]:[Autres]])</f>
        <v>23</v>
      </c>
      <c r="R372" s="2">
        <v>0</v>
      </c>
      <c r="S372" s="2">
        <v>0</v>
      </c>
      <c r="T372" s="2" t="s">
        <v>43</v>
      </c>
      <c r="U372" s="2" t="s">
        <v>110</v>
      </c>
      <c r="V372" s="2" t="s">
        <v>45</v>
      </c>
      <c r="W372" s="2">
        <v>1</v>
      </c>
      <c r="X372" s="2">
        <v>1</v>
      </c>
      <c r="Y372" s="2">
        <v>0</v>
      </c>
      <c r="Z372" s="2">
        <v>0</v>
      </c>
      <c r="AA372" s="2">
        <v>0</v>
      </c>
      <c r="AB372" s="2"/>
      <c r="AC372" s="2">
        <v>0</v>
      </c>
      <c r="AD372" s="2"/>
      <c r="AE372" s="2" t="s">
        <v>46</v>
      </c>
      <c r="AF372" s="2">
        <v>0</v>
      </c>
      <c r="AG372" s="2">
        <v>0</v>
      </c>
      <c r="AH372" s="2" t="s">
        <v>111</v>
      </c>
      <c r="AI372" s="2" t="s">
        <v>43</v>
      </c>
      <c r="AJ372" s="2">
        <v>0</v>
      </c>
      <c r="AK372" s="2">
        <v>23</v>
      </c>
      <c r="AL372" s="2"/>
      <c r="AM372" s="2">
        <v>0</v>
      </c>
      <c r="AN372" s="2">
        <v>0</v>
      </c>
      <c r="AO372" s="2"/>
      <c r="AP372" s="2"/>
      <c r="AQ372" s="2" t="s">
        <v>48</v>
      </c>
      <c r="AR372" s="2" t="s">
        <v>901</v>
      </c>
      <c r="AS372" s="2" t="s">
        <v>961</v>
      </c>
      <c r="AT372" s="2" t="s">
        <v>962</v>
      </c>
      <c r="AU372" s="2" t="s">
        <v>969</v>
      </c>
      <c r="AV372" s="2" t="s">
        <v>835</v>
      </c>
      <c r="AW372" s="2">
        <v>4.3908040973000002</v>
      </c>
      <c r="AX372" s="2">
        <v>50.872370103199998</v>
      </c>
    </row>
    <row r="373" spans="2:50" x14ac:dyDescent="0.25">
      <c r="B373" s="2">
        <v>459</v>
      </c>
      <c r="C373" s="2">
        <v>2179540</v>
      </c>
      <c r="D373" s="2" t="s">
        <v>568</v>
      </c>
      <c r="E373" s="2">
        <v>0</v>
      </c>
      <c r="F373" s="2">
        <v>0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f>SUM(parking_data_1030[[#This Row],[Résidenti]:[Autres]])</f>
        <v>0</v>
      </c>
      <c r="R373" s="2">
        <v>0</v>
      </c>
      <c r="S373" s="2">
        <v>0</v>
      </c>
      <c r="T373" s="2" t="s">
        <v>43</v>
      </c>
      <c r="U373" s="2" t="s">
        <v>44</v>
      </c>
      <c r="V373" s="2" t="s">
        <v>45</v>
      </c>
      <c r="W373" s="2">
        <v>0</v>
      </c>
      <c r="X373" s="2">
        <v>0</v>
      </c>
      <c r="Y373" s="2">
        <v>0</v>
      </c>
      <c r="Z373" s="2">
        <v>1</v>
      </c>
      <c r="AA373" s="2">
        <v>0</v>
      </c>
      <c r="AB373" s="2"/>
      <c r="AC373" s="2">
        <v>0</v>
      </c>
      <c r="AD373" s="2"/>
      <c r="AE373" s="2" t="s">
        <v>106</v>
      </c>
      <c r="AF373" s="2">
        <v>0</v>
      </c>
      <c r="AG373" s="2">
        <v>0</v>
      </c>
      <c r="AH373" s="2" t="s">
        <v>192</v>
      </c>
      <c r="AI373" s="2" t="s">
        <v>79</v>
      </c>
      <c r="AJ373" s="2">
        <v>0</v>
      </c>
      <c r="AK373" s="2">
        <v>0</v>
      </c>
      <c r="AL373" s="2"/>
      <c r="AM373" s="2">
        <v>0</v>
      </c>
      <c r="AN373" s="2">
        <v>0</v>
      </c>
      <c r="AO373" s="2"/>
      <c r="AP373" s="2"/>
      <c r="AQ373" s="2" t="s">
        <v>48</v>
      </c>
      <c r="AR373" s="2" t="s">
        <v>1580</v>
      </c>
      <c r="AS373" s="2" t="s">
        <v>961</v>
      </c>
      <c r="AT373" s="2" t="s">
        <v>962</v>
      </c>
      <c r="AU373" s="2" t="s">
        <v>973</v>
      </c>
      <c r="AV373" s="2" t="s">
        <v>835</v>
      </c>
      <c r="AW373" s="2">
        <v>4.3921225039999996</v>
      </c>
      <c r="AX373" s="2">
        <v>50.871888367899999</v>
      </c>
    </row>
    <row r="374" spans="2:50" x14ac:dyDescent="0.25">
      <c r="B374" s="2">
        <v>270</v>
      </c>
      <c r="C374" s="2">
        <v>2156293</v>
      </c>
      <c r="D374" s="2" t="s">
        <v>465</v>
      </c>
      <c r="E374" s="2">
        <v>10</v>
      </c>
      <c r="F374" s="2">
        <v>0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f>SUM(parking_data_1030[[#This Row],[Résidenti]:[Autres]])</f>
        <v>10</v>
      </c>
      <c r="R374" s="2">
        <v>0</v>
      </c>
      <c r="S374" s="2">
        <v>0</v>
      </c>
      <c r="T374" s="2" t="s">
        <v>43</v>
      </c>
      <c r="U374" s="2" t="s">
        <v>64</v>
      </c>
      <c r="V374" s="2" t="s">
        <v>45</v>
      </c>
      <c r="W374" s="2">
        <v>0</v>
      </c>
      <c r="X374" s="2">
        <v>1</v>
      </c>
      <c r="Y374" s="2">
        <v>0</v>
      </c>
      <c r="Z374" s="2">
        <v>1</v>
      </c>
      <c r="AA374" s="2">
        <v>0</v>
      </c>
      <c r="AB374" s="2"/>
      <c r="AC374" s="2">
        <v>0</v>
      </c>
      <c r="AD374" s="2"/>
      <c r="AE374" s="2" t="s">
        <v>46</v>
      </c>
      <c r="AF374" s="2">
        <v>0</v>
      </c>
      <c r="AG374" s="2">
        <v>0</v>
      </c>
      <c r="AH374" s="2" t="s">
        <v>74</v>
      </c>
      <c r="AI374" s="2" t="s">
        <v>43</v>
      </c>
      <c r="AJ374" s="2">
        <v>0</v>
      </c>
      <c r="AK374" s="2">
        <v>0</v>
      </c>
      <c r="AL374" s="2"/>
      <c r="AM374" s="2">
        <v>0</v>
      </c>
      <c r="AN374" s="2">
        <v>0</v>
      </c>
      <c r="AO374" s="2"/>
      <c r="AP374" s="2"/>
      <c r="AQ374" s="2" t="s">
        <v>48</v>
      </c>
      <c r="AR374" s="2" t="s">
        <v>1316</v>
      </c>
      <c r="AS374" s="2" t="s">
        <v>1317</v>
      </c>
      <c r="AT374" s="2" t="s">
        <v>1318</v>
      </c>
      <c r="AU374" s="2" t="s">
        <v>1313</v>
      </c>
      <c r="AV374" s="2" t="s">
        <v>1137</v>
      </c>
      <c r="AW374" s="2">
        <v>4.3927719833000003</v>
      </c>
      <c r="AX374" s="2">
        <v>50.855907904799999</v>
      </c>
    </row>
    <row r="375" spans="2:50" x14ac:dyDescent="0.25">
      <c r="B375" s="2">
        <v>306</v>
      </c>
      <c r="C375" s="2">
        <v>2188905</v>
      </c>
      <c r="D375" s="2" t="s">
        <v>491</v>
      </c>
      <c r="E375" s="2">
        <v>14</v>
      </c>
      <c r="F375" s="2">
        <v>0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f>SUM(parking_data_1030[[#This Row],[Résidenti]:[Autres]])</f>
        <v>14</v>
      </c>
      <c r="R375" s="2">
        <v>0</v>
      </c>
      <c r="S375" s="2">
        <v>0</v>
      </c>
      <c r="T375" s="2" t="s">
        <v>43</v>
      </c>
      <c r="U375" s="2" t="s">
        <v>54</v>
      </c>
      <c r="V375" s="2" t="s">
        <v>45</v>
      </c>
      <c r="W375" s="2">
        <v>0</v>
      </c>
      <c r="X375" s="2">
        <v>1</v>
      </c>
      <c r="Y375" s="2">
        <v>0</v>
      </c>
      <c r="Z375" s="2">
        <v>1</v>
      </c>
      <c r="AA375" s="2">
        <v>0</v>
      </c>
      <c r="AB375" s="2"/>
      <c r="AC375" s="2">
        <v>0</v>
      </c>
      <c r="AD375" s="2"/>
      <c r="AE375" s="2" t="s">
        <v>46</v>
      </c>
      <c r="AF375" s="2">
        <v>0</v>
      </c>
      <c r="AG375" s="2">
        <v>0</v>
      </c>
      <c r="AH375" s="2" t="s">
        <v>55</v>
      </c>
      <c r="AI375" s="2" t="s">
        <v>43</v>
      </c>
      <c r="AJ375" s="2">
        <v>0</v>
      </c>
      <c r="AK375" s="2">
        <v>0</v>
      </c>
      <c r="AL375" s="2"/>
      <c r="AM375" s="2">
        <v>0</v>
      </c>
      <c r="AN375" s="2">
        <v>0</v>
      </c>
      <c r="AO375" s="2"/>
      <c r="AP375" s="2"/>
      <c r="AQ375" s="2" t="s">
        <v>48</v>
      </c>
      <c r="AR375" s="2" t="s">
        <v>1376</v>
      </c>
      <c r="AS375" s="2" t="s">
        <v>1317</v>
      </c>
      <c r="AT375" s="2" t="s">
        <v>1318</v>
      </c>
      <c r="AU375" s="2" t="s">
        <v>1375</v>
      </c>
      <c r="AV375" s="2" t="s">
        <v>1137</v>
      </c>
      <c r="AW375" s="2">
        <v>4.3833279823</v>
      </c>
      <c r="AX375" s="2">
        <v>50.858029220600002</v>
      </c>
    </row>
    <row r="376" spans="2:50" x14ac:dyDescent="0.25">
      <c r="B376" s="2">
        <v>347</v>
      </c>
      <c r="C376" s="2">
        <v>2145476</v>
      </c>
      <c r="D376" s="2" t="s">
        <v>319</v>
      </c>
      <c r="E376" s="2">
        <v>16</v>
      </c>
      <c r="F376" s="2">
        <v>0</v>
      </c>
      <c r="G376" s="2">
        <v>0</v>
      </c>
      <c r="H376" s="2">
        <v>0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 s="2">
        <v>0</v>
      </c>
      <c r="O376" s="2">
        <v>0</v>
      </c>
      <c r="P376" s="2">
        <v>0</v>
      </c>
      <c r="Q376" s="2">
        <f>SUM(parking_data_1030[[#This Row],[Résidenti]:[Autres]])</f>
        <v>16</v>
      </c>
      <c r="R376" s="2">
        <v>0</v>
      </c>
      <c r="S376" s="2">
        <v>0</v>
      </c>
      <c r="T376" s="2" t="s">
        <v>43</v>
      </c>
      <c r="U376" s="2" t="s">
        <v>54</v>
      </c>
      <c r="V376" s="2" t="s">
        <v>45</v>
      </c>
      <c r="W376" s="2">
        <v>1</v>
      </c>
      <c r="X376" s="2">
        <v>0</v>
      </c>
      <c r="Y376" s="2">
        <v>0</v>
      </c>
      <c r="Z376" s="2">
        <v>0</v>
      </c>
      <c r="AA376" s="2">
        <v>0</v>
      </c>
      <c r="AB376" s="2"/>
      <c r="AC376" s="2">
        <v>0</v>
      </c>
      <c r="AD376" s="2"/>
      <c r="AE376" s="2" t="s">
        <v>46</v>
      </c>
      <c r="AF376" s="2">
        <v>0</v>
      </c>
      <c r="AG376" s="2">
        <v>0</v>
      </c>
      <c r="AH376" s="2"/>
      <c r="AI376" s="2" t="s">
        <v>43</v>
      </c>
      <c r="AJ376" s="2">
        <v>0</v>
      </c>
      <c r="AK376" s="2">
        <v>0</v>
      </c>
      <c r="AL376" s="2"/>
      <c r="AM376" s="2">
        <v>0</v>
      </c>
      <c r="AN376" s="2">
        <v>0</v>
      </c>
      <c r="AO376" s="2"/>
      <c r="AP376" s="2"/>
      <c r="AQ376" s="2" t="s">
        <v>48</v>
      </c>
      <c r="AR376" s="2" t="s">
        <v>1442</v>
      </c>
      <c r="AS376" s="2" t="s">
        <v>1317</v>
      </c>
      <c r="AT376" s="2" t="s">
        <v>1318</v>
      </c>
      <c r="AU376" s="2" t="s">
        <v>1443</v>
      </c>
      <c r="AV376" s="2" t="s">
        <v>1420</v>
      </c>
      <c r="AW376" s="2">
        <v>4.3736310122999997</v>
      </c>
      <c r="AX376" s="2">
        <v>50.8601468333</v>
      </c>
    </row>
    <row r="377" spans="2:50" x14ac:dyDescent="0.25">
      <c r="B377" s="2">
        <v>349</v>
      </c>
      <c r="C377" s="2">
        <v>2133509</v>
      </c>
      <c r="D377" s="2" t="s">
        <v>322</v>
      </c>
      <c r="E377" s="2">
        <v>26</v>
      </c>
      <c r="F377" s="2">
        <v>0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f>SUM(parking_data_1030[[#This Row],[Résidenti]:[Autres]])</f>
        <v>26</v>
      </c>
      <c r="R377" s="2">
        <v>0</v>
      </c>
      <c r="S377" s="2">
        <v>0</v>
      </c>
      <c r="T377" s="2" t="s">
        <v>43</v>
      </c>
      <c r="U377" s="2" t="s">
        <v>76</v>
      </c>
      <c r="V377" s="2" t="s">
        <v>45</v>
      </c>
      <c r="W377" s="2">
        <v>1</v>
      </c>
      <c r="X377" s="2">
        <v>1</v>
      </c>
      <c r="Y377" s="2">
        <v>0</v>
      </c>
      <c r="Z377" s="2">
        <v>0</v>
      </c>
      <c r="AA377" s="2">
        <v>0</v>
      </c>
      <c r="AB377" s="2"/>
      <c r="AC377" s="2">
        <v>0</v>
      </c>
      <c r="AD377" s="2"/>
      <c r="AE377" s="2" t="s">
        <v>46</v>
      </c>
      <c r="AF377" s="2">
        <v>0</v>
      </c>
      <c r="AG377" s="2">
        <v>0</v>
      </c>
      <c r="AH377" s="2"/>
      <c r="AI377" s="2" t="s">
        <v>43</v>
      </c>
      <c r="AJ377" s="2">
        <v>0</v>
      </c>
      <c r="AK377" s="2">
        <v>0</v>
      </c>
      <c r="AL377" s="2"/>
      <c r="AM377" s="2">
        <v>0</v>
      </c>
      <c r="AN377" s="2">
        <v>0</v>
      </c>
      <c r="AO377" s="2"/>
      <c r="AP377" s="2"/>
      <c r="AQ377" s="2" t="s">
        <v>48</v>
      </c>
      <c r="AR377" s="2" t="s">
        <v>968</v>
      </c>
      <c r="AS377" s="2" t="s">
        <v>1317</v>
      </c>
      <c r="AT377" s="2" t="s">
        <v>1318</v>
      </c>
      <c r="AU377" s="2" t="s">
        <v>1444</v>
      </c>
      <c r="AV377" s="2" t="s">
        <v>1420</v>
      </c>
      <c r="AW377" s="2">
        <v>4.3718760617000001</v>
      </c>
      <c r="AX377" s="2">
        <v>50.860841409199999</v>
      </c>
    </row>
    <row r="378" spans="2:50" x14ac:dyDescent="0.25">
      <c r="B378" s="2">
        <v>354</v>
      </c>
      <c r="C378" s="2">
        <v>2133488</v>
      </c>
      <c r="D378" s="2" t="s">
        <v>429</v>
      </c>
      <c r="E378" s="2">
        <v>86</v>
      </c>
      <c r="F378" s="2">
        <v>0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f>SUM(parking_data_1030[[#This Row],[Résidenti]:[Autres]])</f>
        <v>86</v>
      </c>
      <c r="R378" s="2">
        <v>0</v>
      </c>
      <c r="S378" s="2">
        <v>0</v>
      </c>
      <c r="T378" s="2" t="s">
        <v>43</v>
      </c>
      <c r="U378" s="2" t="s">
        <v>76</v>
      </c>
      <c r="V378" s="2" t="s">
        <v>45</v>
      </c>
      <c r="W378" s="2">
        <v>1</v>
      </c>
      <c r="X378" s="2">
        <v>0</v>
      </c>
      <c r="Y378" s="2">
        <v>0</v>
      </c>
      <c r="Z378" s="2">
        <v>0</v>
      </c>
      <c r="AA378" s="2">
        <v>0</v>
      </c>
      <c r="AB378" s="2"/>
      <c r="AC378" s="2">
        <v>0</v>
      </c>
      <c r="AD378" s="2"/>
      <c r="AE378" s="2" t="s">
        <v>46</v>
      </c>
      <c r="AF378" s="2">
        <v>0</v>
      </c>
      <c r="AG378" s="2">
        <v>0</v>
      </c>
      <c r="AH378" s="2" t="s">
        <v>225</v>
      </c>
      <c r="AI378" s="2" t="s">
        <v>43</v>
      </c>
      <c r="AJ378" s="2">
        <v>0</v>
      </c>
      <c r="AK378" s="2">
        <v>0</v>
      </c>
      <c r="AL378" s="2"/>
      <c r="AM378" s="2">
        <v>0</v>
      </c>
      <c r="AN378" s="2">
        <v>0</v>
      </c>
      <c r="AO378" s="2"/>
      <c r="AP378" s="2"/>
      <c r="AQ378" s="2" t="s">
        <v>48</v>
      </c>
      <c r="AR378" s="2" t="s">
        <v>1449</v>
      </c>
      <c r="AS378" s="2" t="s">
        <v>1317</v>
      </c>
      <c r="AT378" s="2" t="s">
        <v>1318</v>
      </c>
      <c r="AU378" s="2" t="s">
        <v>1450</v>
      </c>
      <c r="AV378" s="2" t="s">
        <v>1420</v>
      </c>
      <c r="AW378" s="2">
        <v>4.3777308105000001</v>
      </c>
      <c r="AX378" s="2">
        <v>50.859600548000003</v>
      </c>
    </row>
    <row r="379" spans="2:50" x14ac:dyDescent="0.25">
      <c r="B379" s="2">
        <v>479</v>
      </c>
      <c r="C379" s="2">
        <v>2145474</v>
      </c>
      <c r="D379" s="2" t="s">
        <v>536</v>
      </c>
      <c r="E379" s="2">
        <v>0</v>
      </c>
      <c r="F379" s="2">
        <v>10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f>SUM(parking_data_1030[[#This Row],[Résidenti]:[Autres]])</f>
        <v>10</v>
      </c>
      <c r="R379" s="2">
        <v>0</v>
      </c>
      <c r="S379" s="2">
        <v>0</v>
      </c>
      <c r="T379" s="2" t="s">
        <v>43</v>
      </c>
      <c r="U379" s="2" t="s">
        <v>64</v>
      </c>
      <c r="V379" s="2" t="s">
        <v>45</v>
      </c>
      <c r="W379" s="2">
        <v>0</v>
      </c>
      <c r="X379" s="2">
        <v>0</v>
      </c>
      <c r="Y379" s="2">
        <v>0</v>
      </c>
      <c r="Z379" s="2">
        <v>1</v>
      </c>
      <c r="AA379" s="2">
        <v>0</v>
      </c>
      <c r="AB379" s="2"/>
      <c r="AC379" s="2">
        <v>0</v>
      </c>
      <c r="AD379" s="2"/>
      <c r="AE379" s="2" t="s">
        <v>46</v>
      </c>
      <c r="AF379" s="2">
        <v>0</v>
      </c>
      <c r="AG379" s="2">
        <v>0</v>
      </c>
      <c r="AH379" s="2" t="s">
        <v>537</v>
      </c>
      <c r="AI379" s="2" t="s">
        <v>43</v>
      </c>
      <c r="AJ379" s="2">
        <v>0</v>
      </c>
      <c r="AK379" s="2">
        <v>10</v>
      </c>
      <c r="AL379" s="2"/>
      <c r="AM379" s="2">
        <v>0</v>
      </c>
      <c r="AN379" s="2">
        <v>0</v>
      </c>
      <c r="AO379" s="2"/>
      <c r="AP379" s="2"/>
      <c r="AQ379" s="2" t="s">
        <v>48</v>
      </c>
      <c r="AR379" s="2" t="s">
        <v>1569</v>
      </c>
      <c r="AS379" s="2" t="s">
        <v>1317</v>
      </c>
      <c r="AT379" s="2" t="s">
        <v>1318</v>
      </c>
      <c r="AU379" s="2" t="s">
        <v>1443</v>
      </c>
      <c r="AV379" s="2" t="s">
        <v>1420</v>
      </c>
      <c r="AW379" s="2">
        <v>4.3740012847000003</v>
      </c>
      <c r="AX379" s="2">
        <v>50.860065190699999</v>
      </c>
    </row>
    <row r="380" spans="2:50" x14ac:dyDescent="0.25">
      <c r="B380" s="2">
        <v>377</v>
      </c>
      <c r="C380" s="2">
        <v>2146746</v>
      </c>
      <c r="D380" s="2" t="s">
        <v>400</v>
      </c>
      <c r="E380" s="2">
        <v>16</v>
      </c>
      <c r="F380" s="2">
        <v>0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f>SUM(parking_data_1030[[#This Row],[Résidenti]:[Autres]])</f>
        <v>16</v>
      </c>
      <c r="R380" s="2">
        <v>0</v>
      </c>
      <c r="S380" s="2">
        <v>0</v>
      </c>
      <c r="T380" s="2" t="s">
        <v>43</v>
      </c>
      <c r="U380" s="2" t="s">
        <v>44</v>
      </c>
      <c r="V380" s="2" t="s">
        <v>45</v>
      </c>
      <c r="W380" s="2">
        <v>1</v>
      </c>
      <c r="X380" s="2">
        <v>1</v>
      </c>
      <c r="Y380" s="2">
        <v>0</v>
      </c>
      <c r="Z380" s="2">
        <v>0</v>
      </c>
      <c r="AA380" s="2">
        <v>0</v>
      </c>
      <c r="AB380" s="2"/>
      <c r="AC380" s="2">
        <v>0</v>
      </c>
      <c r="AD380" s="2"/>
      <c r="AE380" s="2" t="s">
        <v>52</v>
      </c>
      <c r="AF380" s="2">
        <v>0</v>
      </c>
      <c r="AG380" s="2">
        <v>0</v>
      </c>
      <c r="AH380" s="2"/>
      <c r="AI380" s="2" t="s">
        <v>43</v>
      </c>
      <c r="AJ380" s="2">
        <v>0</v>
      </c>
      <c r="AK380" s="2">
        <v>0</v>
      </c>
      <c r="AL380" s="2"/>
      <c r="AM380" s="2">
        <v>0</v>
      </c>
      <c r="AN380" s="2">
        <v>0</v>
      </c>
      <c r="AO380" s="2"/>
      <c r="AP380" s="2"/>
      <c r="AQ380" s="2" t="s">
        <v>48</v>
      </c>
      <c r="AR380" s="2" t="s">
        <v>1431</v>
      </c>
      <c r="AS380" s="2" t="s">
        <v>1482</v>
      </c>
      <c r="AT380" s="2" t="s">
        <v>1483</v>
      </c>
      <c r="AU380" s="2" t="s">
        <v>1484</v>
      </c>
      <c r="AV380" s="2" t="s">
        <v>897</v>
      </c>
      <c r="AW380" s="2">
        <v>4.3640394820999999</v>
      </c>
      <c r="AX380" s="2">
        <v>50.862549785399999</v>
      </c>
    </row>
    <row r="381" spans="2:50" x14ac:dyDescent="0.25">
      <c r="B381" s="2">
        <v>181</v>
      </c>
      <c r="C381" s="2">
        <v>1168012</v>
      </c>
      <c r="D381" s="2" t="s">
        <v>286</v>
      </c>
      <c r="E381" s="2">
        <v>0</v>
      </c>
      <c r="F381" s="2">
        <v>0</v>
      </c>
      <c r="G381" s="2">
        <v>0</v>
      </c>
      <c r="H381" s="2">
        <v>0</v>
      </c>
      <c r="I381" s="2">
        <v>82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f>SUM(parking_data_1030[[#This Row],[Résidenti]:[Autres]])</f>
        <v>82</v>
      </c>
      <c r="R381" s="2">
        <v>0</v>
      </c>
      <c r="S381" s="2">
        <v>0</v>
      </c>
      <c r="T381" s="2" t="s">
        <v>43</v>
      </c>
      <c r="U381" s="2" t="s">
        <v>64</v>
      </c>
      <c r="V381" s="2" t="s">
        <v>45</v>
      </c>
      <c r="W381" s="2">
        <v>1</v>
      </c>
      <c r="X381" s="2">
        <v>1</v>
      </c>
      <c r="Y381" s="2">
        <v>1</v>
      </c>
      <c r="Z381" s="2">
        <v>0</v>
      </c>
      <c r="AA381" s="2">
        <v>1</v>
      </c>
      <c r="AB381" s="2"/>
      <c r="AC381" s="2">
        <v>0</v>
      </c>
      <c r="AD381" s="3">
        <v>48470</v>
      </c>
      <c r="AE381" s="2" t="s">
        <v>46</v>
      </c>
      <c r="AF381" s="2">
        <v>0</v>
      </c>
      <c r="AG381" s="2">
        <v>0</v>
      </c>
      <c r="AH381" s="2" t="s">
        <v>287</v>
      </c>
      <c r="AI381" s="2" t="s">
        <v>43</v>
      </c>
      <c r="AJ381" s="2">
        <v>0</v>
      </c>
      <c r="AK381" s="2">
        <v>82</v>
      </c>
      <c r="AL381" s="2" t="s">
        <v>288</v>
      </c>
      <c r="AM381" s="2">
        <v>2</v>
      </c>
      <c r="AN381" s="2">
        <v>0</v>
      </c>
      <c r="AO381" s="2" t="s">
        <v>289</v>
      </c>
      <c r="AP381" s="2"/>
      <c r="AQ381" s="2" t="s">
        <v>70</v>
      </c>
      <c r="AR381" s="2" t="s">
        <v>952</v>
      </c>
      <c r="AS381" s="2" t="s">
        <v>1202</v>
      </c>
      <c r="AT381" s="2" t="s">
        <v>1203</v>
      </c>
      <c r="AU381" s="2" t="s">
        <v>1201</v>
      </c>
      <c r="AV381" s="2" t="s">
        <v>1090</v>
      </c>
      <c r="AW381" s="2">
        <v>4.3974307944</v>
      </c>
      <c r="AX381" s="2">
        <v>50.8474281644</v>
      </c>
    </row>
    <row r="382" spans="2:50" x14ac:dyDescent="0.25">
      <c r="B382" s="2">
        <v>182</v>
      </c>
      <c r="C382" s="2">
        <v>1168056</v>
      </c>
      <c r="D382" s="2" t="s">
        <v>290</v>
      </c>
      <c r="E382" s="2">
        <v>50</v>
      </c>
      <c r="F382" s="2">
        <v>0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f>SUM(parking_data_1030[[#This Row],[Résidenti]:[Autres]])</f>
        <v>50</v>
      </c>
      <c r="R382" s="2">
        <v>0</v>
      </c>
      <c r="S382" s="2">
        <v>0</v>
      </c>
      <c r="T382" s="2" t="s">
        <v>43</v>
      </c>
      <c r="U382" s="2" t="s">
        <v>76</v>
      </c>
      <c r="V382" s="2" t="s">
        <v>45</v>
      </c>
      <c r="W382" s="2">
        <v>1</v>
      </c>
      <c r="X382" s="2">
        <v>0</v>
      </c>
      <c r="Y382" s="2">
        <v>1</v>
      </c>
      <c r="Z382" s="2">
        <v>0</v>
      </c>
      <c r="AA382" s="2">
        <v>0</v>
      </c>
      <c r="AB382" s="2" t="s">
        <v>60</v>
      </c>
      <c r="AC382" s="2">
        <v>0</v>
      </c>
      <c r="AD382" s="2"/>
      <c r="AE382" s="2" t="s">
        <v>46</v>
      </c>
      <c r="AF382" s="2">
        <v>0</v>
      </c>
      <c r="AG382" s="2">
        <v>0</v>
      </c>
      <c r="AH382" s="2" t="s">
        <v>291</v>
      </c>
      <c r="AI382" s="2" t="s">
        <v>43</v>
      </c>
      <c r="AJ382" s="2">
        <v>0</v>
      </c>
      <c r="AK382" s="2">
        <v>0</v>
      </c>
      <c r="AL382" s="2"/>
      <c r="AM382" s="2">
        <v>0</v>
      </c>
      <c r="AN382" s="2">
        <v>0</v>
      </c>
      <c r="AO382" s="2"/>
      <c r="AP382" s="2"/>
      <c r="AQ382" s="2" t="s">
        <v>48</v>
      </c>
      <c r="AR382" s="2" t="s">
        <v>1204</v>
      </c>
      <c r="AS382" s="2" t="s">
        <v>1202</v>
      </c>
      <c r="AT382" s="2" t="s">
        <v>1203</v>
      </c>
      <c r="AU382" s="2" t="s">
        <v>1201</v>
      </c>
      <c r="AV382" s="2" t="s">
        <v>1090</v>
      </c>
      <c r="AW382" s="2">
        <v>4.3989872927000002</v>
      </c>
      <c r="AX382" s="2">
        <v>50.847959107999998</v>
      </c>
    </row>
    <row r="383" spans="2:50" x14ac:dyDescent="0.25">
      <c r="B383" s="2">
        <v>186</v>
      </c>
      <c r="C383" s="2">
        <v>2159289</v>
      </c>
      <c r="D383" s="2" t="s">
        <v>269</v>
      </c>
      <c r="E383" s="2">
        <v>10</v>
      </c>
      <c r="F383" s="2">
        <v>0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f>SUM(parking_data_1030[[#This Row],[Résidenti]:[Autres]])</f>
        <v>10</v>
      </c>
      <c r="R383" s="2">
        <v>0</v>
      </c>
      <c r="S383" s="2">
        <v>0</v>
      </c>
      <c r="T383" s="2" t="s">
        <v>43</v>
      </c>
      <c r="U383" s="2" t="s">
        <v>44</v>
      </c>
      <c r="V383" s="2" t="s">
        <v>45</v>
      </c>
      <c r="W383" s="2">
        <v>0</v>
      </c>
      <c r="X383" s="2">
        <v>1</v>
      </c>
      <c r="Y383" s="2">
        <v>0</v>
      </c>
      <c r="Z383" s="2">
        <v>1</v>
      </c>
      <c r="AA383" s="2">
        <v>0</v>
      </c>
      <c r="AB383" s="2"/>
      <c r="AC383" s="2">
        <v>0</v>
      </c>
      <c r="AD383" s="2"/>
      <c r="AE383" s="2" t="s">
        <v>46</v>
      </c>
      <c r="AF383" s="2">
        <v>0</v>
      </c>
      <c r="AG383" s="2">
        <v>0</v>
      </c>
      <c r="AH383" s="2" t="s">
        <v>120</v>
      </c>
      <c r="AI383" s="2" t="s">
        <v>43</v>
      </c>
      <c r="AJ383" s="2">
        <v>0</v>
      </c>
      <c r="AK383" s="2">
        <v>0</v>
      </c>
      <c r="AL383" s="2"/>
      <c r="AM383" s="2">
        <v>0</v>
      </c>
      <c r="AN383" s="2">
        <v>0</v>
      </c>
      <c r="AO383" s="2"/>
      <c r="AP383" s="2"/>
      <c r="AQ383" s="2" t="s">
        <v>48</v>
      </c>
      <c r="AR383" s="2" t="s">
        <v>1017</v>
      </c>
      <c r="AS383" s="2" t="s">
        <v>1202</v>
      </c>
      <c r="AT383" s="2" t="s">
        <v>1203</v>
      </c>
      <c r="AU383" s="2" t="s">
        <v>1210</v>
      </c>
      <c r="AV383" s="2" t="s">
        <v>1142</v>
      </c>
      <c r="AW383" s="2">
        <v>4.4011937932</v>
      </c>
      <c r="AX383" s="2">
        <v>50.848831159100001</v>
      </c>
    </row>
    <row r="384" spans="2:50" x14ac:dyDescent="0.25">
      <c r="B384" s="2">
        <v>187</v>
      </c>
      <c r="C384" s="2">
        <v>10005283</v>
      </c>
      <c r="D384" s="2" t="s">
        <v>270</v>
      </c>
      <c r="E384" s="2">
        <v>99</v>
      </c>
      <c r="F384" s="2">
        <v>0</v>
      </c>
      <c r="G384" s="2">
        <v>0</v>
      </c>
      <c r="H384" s="2">
        <v>0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 s="2">
        <v>0</v>
      </c>
      <c r="O384" s="2">
        <v>0</v>
      </c>
      <c r="P384" s="2">
        <v>0</v>
      </c>
      <c r="Q384" s="2">
        <f>SUM(parking_data_1030[[#This Row],[Résidenti]:[Autres]])</f>
        <v>99</v>
      </c>
      <c r="R384" s="2">
        <v>0</v>
      </c>
      <c r="S384" s="2">
        <v>0</v>
      </c>
      <c r="T384" s="2" t="s">
        <v>43</v>
      </c>
      <c r="U384" s="2" t="s">
        <v>76</v>
      </c>
      <c r="V384" s="2" t="s">
        <v>45</v>
      </c>
      <c r="W384" s="2">
        <v>1</v>
      </c>
      <c r="X384" s="2">
        <v>1</v>
      </c>
      <c r="Y384" s="2">
        <v>0</v>
      </c>
      <c r="Z384" s="2">
        <v>0</v>
      </c>
      <c r="AA384" s="2">
        <v>0</v>
      </c>
      <c r="AB384" s="2" t="s">
        <v>60</v>
      </c>
      <c r="AC384" s="2">
        <v>0</v>
      </c>
      <c r="AD384" s="2"/>
      <c r="AE384" s="2" t="s">
        <v>46</v>
      </c>
      <c r="AF384" s="2">
        <v>0</v>
      </c>
      <c r="AG384" s="2">
        <v>0</v>
      </c>
      <c r="AH384" s="2" t="s">
        <v>271</v>
      </c>
      <c r="AI384" s="2" t="s">
        <v>43</v>
      </c>
      <c r="AJ384" s="2">
        <v>0</v>
      </c>
      <c r="AK384" s="2">
        <v>0</v>
      </c>
      <c r="AL384" s="2"/>
      <c r="AM384" s="2">
        <v>0</v>
      </c>
      <c r="AN384" s="2">
        <v>0</v>
      </c>
      <c r="AO384" s="2"/>
      <c r="AP384" s="2"/>
      <c r="AQ384" s="2" t="s">
        <v>48</v>
      </c>
      <c r="AR384" s="2" t="s">
        <v>884</v>
      </c>
      <c r="AS384" s="2" t="s">
        <v>1202</v>
      </c>
      <c r="AT384" s="2" t="s">
        <v>1203</v>
      </c>
      <c r="AU384" s="2" t="s">
        <v>1210</v>
      </c>
      <c r="AV384" s="2" t="s">
        <v>1142</v>
      </c>
      <c r="AW384" s="2">
        <v>4.4003918819000001</v>
      </c>
      <c r="AX384" s="2">
        <v>50.848663853300003</v>
      </c>
    </row>
    <row r="385" spans="2:50" x14ac:dyDescent="0.25">
      <c r="B385" s="2">
        <v>188</v>
      </c>
      <c r="C385" s="2">
        <v>2159283</v>
      </c>
      <c r="D385" s="2" t="s">
        <v>272</v>
      </c>
      <c r="E385" s="2">
        <v>21</v>
      </c>
      <c r="F385" s="2">
        <v>0</v>
      </c>
      <c r="G385" s="2">
        <v>0</v>
      </c>
      <c r="H385" s="2">
        <v>0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 s="2">
        <v>0</v>
      </c>
      <c r="O385" s="2">
        <v>0</v>
      </c>
      <c r="P385" s="2">
        <v>0</v>
      </c>
      <c r="Q385" s="2">
        <f>SUM(parking_data_1030[[#This Row],[Résidenti]:[Autres]])</f>
        <v>21</v>
      </c>
      <c r="R385" s="2">
        <v>0</v>
      </c>
      <c r="S385" s="2">
        <v>0</v>
      </c>
      <c r="T385" s="2" t="s">
        <v>43</v>
      </c>
      <c r="U385" s="2" t="s">
        <v>76</v>
      </c>
      <c r="V385" s="2" t="s">
        <v>59</v>
      </c>
      <c r="W385" s="2">
        <v>1</v>
      </c>
      <c r="X385" s="2">
        <v>1</v>
      </c>
      <c r="Y385" s="2">
        <v>0</v>
      </c>
      <c r="Z385" s="2">
        <v>0</v>
      </c>
      <c r="AA385" s="2">
        <v>0</v>
      </c>
      <c r="AB385" s="2"/>
      <c r="AC385" s="2">
        <v>0</v>
      </c>
      <c r="AD385" s="2"/>
      <c r="AE385" s="2" t="s">
        <v>46</v>
      </c>
      <c r="AF385" s="2">
        <v>0</v>
      </c>
      <c r="AG385" s="2">
        <v>0</v>
      </c>
      <c r="AH385" s="2"/>
      <c r="AI385" s="2" t="s">
        <v>43</v>
      </c>
      <c r="AJ385" s="2">
        <v>0</v>
      </c>
      <c r="AK385" s="2">
        <v>0</v>
      </c>
      <c r="AL385" s="2"/>
      <c r="AM385" s="2">
        <v>0</v>
      </c>
      <c r="AN385" s="2">
        <v>0</v>
      </c>
      <c r="AO385" s="2"/>
      <c r="AP385" s="2"/>
      <c r="AQ385" s="2" t="s">
        <v>48</v>
      </c>
      <c r="AR385" s="2" t="s">
        <v>865</v>
      </c>
      <c r="AS385" s="2" t="s">
        <v>1202</v>
      </c>
      <c r="AT385" s="2" t="s">
        <v>1203</v>
      </c>
      <c r="AU385" s="2" t="s">
        <v>1210</v>
      </c>
      <c r="AV385" s="2" t="s">
        <v>1142</v>
      </c>
      <c r="AW385" s="2">
        <v>4.4001232702999999</v>
      </c>
      <c r="AX385" s="2">
        <v>50.848618919099998</v>
      </c>
    </row>
    <row r="386" spans="2:50" x14ac:dyDescent="0.25">
      <c r="B386" s="2">
        <v>203</v>
      </c>
      <c r="C386" s="2">
        <v>2188127</v>
      </c>
      <c r="D386" s="2" t="s">
        <v>163</v>
      </c>
      <c r="E386" s="2">
        <v>21</v>
      </c>
      <c r="F386" s="2">
        <v>0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f>SUM(parking_data_1030[[#This Row],[Résidenti]:[Autres]])</f>
        <v>21</v>
      </c>
      <c r="R386" s="2">
        <v>0</v>
      </c>
      <c r="S386" s="2">
        <v>0</v>
      </c>
      <c r="T386" s="2" t="s">
        <v>43</v>
      </c>
      <c r="U386" s="2" t="s">
        <v>54</v>
      </c>
      <c r="V386" s="2" t="s">
        <v>45</v>
      </c>
      <c r="W386" s="2">
        <v>0</v>
      </c>
      <c r="X386" s="2">
        <v>1</v>
      </c>
      <c r="Y386" s="2">
        <v>0</v>
      </c>
      <c r="Z386" s="2">
        <v>1</v>
      </c>
      <c r="AA386" s="2">
        <v>0</v>
      </c>
      <c r="AB386" s="2" t="s">
        <v>60</v>
      </c>
      <c r="AC386" s="2">
        <v>0</v>
      </c>
      <c r="AD386" s="2"/>
      <c r="AE386" s="2" t="s">
        <v>106</v>
      </c>
      <c r="AF386" s="2">
        <v>0</v>
      </c>
      <c r="AG386" s="2">
        <v>0</v>
      </c>
      <c r="AH386" s="2" t="s">
        <v>164</v>
      </c>
      <c r="AI386" s="2" t="s">
        <v>43</v>
      </c>
      <c r="AJ386" s="2">
        <v>0</v>
      </c>
      <c r="AK386" s="2">
        <v>0</v>
      </c>
      <c r="AL386" s="2"/>
      <c r="AM386" s="2">
        <v>0</v>
      </c>
      <c r="AN386" s="2">
        <v>0</v>
      </c>
      <c r="AO386" s="2"/>
      <c r="AP386" s="2"/>
      <c r="AQ386" s="2" t="s">
        <v>48</v>
      </c>
      <c r="AR386" s="2" t="s">
        <v>1226</v>
      </c>
      <c r="AS386" s="2" t="s">
        <v>1202</v>
      </c>
      <c r="AT386" s="2" t="s">
        <v>1203</v>
      </c>
      <c r="AU386" s="2" t="s">
        <v>1227</v>
      </c>
      <c r="AV386" s="2" t="s">
        <v>1142</v>
      </c>
      <c r="AW386" s="2">
        <v>4.3967889289000004</v>
      </c>
      <c r="AX386" s="2">
        <v>50.847787569499999</v>
      </c>
    </row>
    <row r="387" spans="2:50" x14ac:dyDescent="0.25">
      <c r="B387" s="2">
        <v>204</v>
      </c>
      <c r="C387" s="2">
        <v>2188137</v>
      </c>
      <c r="D387" s="2" t="s">
        <v>165</v>
      </c>
      <c r="E387" s="2">
        <v>11</v>
      </c>
      <c r="F387" s="2">
        <v>0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f>SUM(parking_data_1030[[#This Row],[Résidenti]:[Autres]])</f>
        <v>11</v>
      </c>
      <c r="R387" s="2">
        <v>0</v>
      </c>
      <c r="S387" s="2">
        <v>0</v>
      </c>
      <c r="T387" s="2" t="s">
        <v>43</v>
      </c>
      <c r="U387" s="2" t="s">
        <v>54</v>
      </c>
      <c r="V387" s="2" t="s">
        <v>45</v>
      </c>
      <c r="W387" s="2">
        <v>1</v>
      </c>
      <c r="X387" s="2">
        <v>0</v>
      </c>
      <c r="Y387" s="2">
        <v>0</v>
      </c>
      <c r="Z387" s="2">
        <v>0</v>
      </c>
      <c r="AA387" s="2">
        <v>0</v>
      </c>
      <c r="AB387" s="2"/>
      <c r="AC387" s="2">
        <v>0</v>
      </c>
      <c r="AD387" s="2"/>
      <c r="AE387" s="2" t="s">
        <v>106</v>
      </c>
      <c r="AF387" s="2">
        <v>0</v>
      </c>
      <c r="AG387" s="2">
        <v>0</v>
      </c>
      <c r="AH387" s="2"/>
      <c r="AI387" s="2" t="s">
        <v>43</v>
      </c>
      <c r="AJ387" s="2">
        <v>0</v>
      </c>
      <c r="AK387" s="2">
        <v>0</v>
      </c>
      <c r="AL387" s="2"/>
      <c r="AM387" s="2">
        <v>0</v>
      </c>
      <c r="AN387" s="2">
        <v>0</v>
      </c>
      <c r="AO387" s="2"/>
      <c r="AP387" s="2"/>
      <c r="AQ387" s="2" t="s">
        <v>48</v>
      </c>
      <c r="AR387" s="2" t="s">
        <v>919</v>
      </c>
      <c r="AS387" s="2" t="s">
        <v>1202</v>
      </c>
      <c r="AT387" s="2" t="s">
        <v>1203</v>
      </c>
      <c r="AU387" s="2" t="s">
        <v>1227</v>
      </c>
      <c r="AV387" s="2" t="s">
        <v>1142</v>
      </c>
      <c r="AW387" s="2">
        <v>4.3972770830999997</v>
      </c>
      <c r="AX387" s="2">
        <v>50.8479495443</v>
      </c>
    </row>
    <row r="388" spans="2:50" x14ac:dyDescent="0.25">
      <c r="B388" s="2">
        <v>222</v>
      </c>
      <c r="C388" s="2">
        <v>2158047</v>
      </c>
      <c r="D388" s="2" t="s">
        <v>149</v>
      </c>
      <c r="E388" s="2">
        <v>12</v>
      </c>
      <c r="F388" s="2">
        <v>0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f>SUM(parking_data_1030[[#This Row],[Résidenti]:[Autres]])</f>
        <v>12</v>
      </c>
      <c r="R388" s="2">
        <v>0</v>
      </c>
      <c r="S388" s="2">
        <v>0</v>
      </c>
      <c r="T388" s="2" t="s">
        <v>43</v>
      </c>
      <c r="U388" s="2" t="s">
        <v>54</v>
      </c>
      <c r="V388" s="2" t="s">
        <v>45</v>
      </c>
      <c r="W388" s="2">
        <v>0</v>
      </c>
      <c r="X388" s="2">
        <v>1</v>
      </c>
      <c r="Y388" s="2">
        <v>0</v>
      </c>
      <c r="Z388" s="2">
        <v>1</v>
      </c>
      <c r="AA388" s="2">
        <v>0</v>
      </c>
      <c r="AB388" s="2"/>
      <c r="AC388" s="2">
        <v>0</v>
      </c>
      <c r="AD388" s="2"/>
      <c r="AE388" s="2" t="s">
        <v>46</v>
      </c>
      <c r="AF388" s="2">
        <v>0</v>
      </c>
      <c r="AG388" s="2">
        <v>0</v>
      </c>
      <c r="AH388" s="2" t="s">
        <v>120</v>
      </c>
      <c r="AI388" s="2" t="s">
        <v>43</v>
      </c>
      <c r="AJ388" s="2">
        <v>0</v>
      </c>
      <c r="AK388" s="2">
        <v>0</v>
      </c>
      <c r="AL388" s="2"/>
      <c r="AM388" s="2">
        <v>0</v>
      </c>
      <c r="AN388" s="2">
        <v>0</v>
      </c>
      <c r="AO388" s="2"/>
      <c r="AP388" s="2"/>
      <c r="AQ388" s="2" t="s">
        <v>48</v>
      </c>
      <c r="AR388" s="2" t="s">
        <v>907</v>
      </c>
      <c r="AS388" s="2" t="s">
        <v>1250</v>
      </c>
      <c r="AT388" s="2" t="s">
        <v>1251</v>
      </c>
      <c r="AU388" s="2" t="s">
        <v>1248</v>
      </c>
      <c r="AV388" s="2" t="s">
        <v>1142</v>
      </c>
      <c r="AW388" s="2">
        <v>4.3987016850999998</v>
      </c>
      <c r="AX388" s="2">
        <v>50.853269173900003</v>
      </c>
    </row>
    <row r="389" spans="2:50" x14ac:dyDescent="0.25">
      <c r="B389" s="2">
        <v>223</v>
      </c>
      <c r="C389" s="2">
        <v>2157872</v>
      </c>
      <c r="D389" s="2" t="s">
        <v>150</v>
      </c>
      <c r="E389" s="2">
        <v>13</v>
      </c>
      <c r="F389" s="2">
        <v>0</v>
      </c>
      <c r="G389" s="2">
        <v>0</v>
      </c>
      <c r="H389" s="2">
        <v>0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 s="2">
        <v>0</v>
      </c>
      <c r="O389" s="2">
        <v>0</v>
      </c>
      <c r="P389" s="2">
        <v>0</v>
      </c>
      <c r="Q389" s="2">
        <f>SUM(parking_data_1030[[#This Row],[Résidenti]:[Autres]])</f>
        <v>13</v>
      </c>
      <c r="R389" s="2">
        <v>0</v>
      </c>
      <c r="S389" s="2">
        <v>0</v>
      </c>
      <c r="T389" s="2" t="s">
        <v>43</v>
      </c>
      <c r="U389" s="2" t="s">
        <v>54</v>
      </c>
      <c r="V389" s="2" t="s">
        <v>45</v>
      </c>
      <c r="W389" s="2">
        <v>1</v>
      </c>
      <c r="X389" s="2">
        <v>1</v>
      </c>
      <c r="Y389" s="2">
        <v>0</v>
      </c>
      <c r="Z389" s="2">
        <v>0</v>
      </c>
      <c r="AA389" s="2">
        <v>0</v>
      </c>
      <c r="AB389" s="2"/>
      <c r="AC389" s="2">
        <v>0</v>
      </c>
      <c r="AD389" s="2"/>
      <c r="AE389" s="2" t="s">
        <v>46</v>
      </c>
      <c r="AF389" s="2">
        <v>0</v>
      </c>
      <c r="AG389" s="2">
        <v>0</v>
      </c>
      <c r="AH389" s="2"/>
      <c r="AI389" s="2" t="s">
        <v>43</v>
      </c>
      <c r="AJ389" s="2">
        <v>0</v>
      </c>
      <c r="AK389" s="2">
        <v>0</v>
      </c>
      <c r="AL389" s="2"/>
      <c r="AM389" s="2">
        <v>0</v>
      </c>
      <c r="AN389" s="2">
        <v>0</v>
      </c>
      <c r="AO389" s="2"/>
      <c r="AP389" s="2"/>
      <c r="AQ389" s="2" t="s">
        <v>48</v>
      </c>
      <c r="AR389" s="2" t="s">
        <v>1030</v>
      </c>
      <c r="AS389" s="2" t="s">
        <v>1250</v>
      </c>
      <c r="AT389" s="2" t="s">
        <v>1251</v>
      </c>
      <c r="AU389" s="2" t="s">
        <v>1252</v>
      </c>
      <c r="AV389" s="2" t="s">
        <v>1142</v>
      </c>
      <c r="AW389" s="2">
        <v>4.3983839230999999</v>
      </c>
      <c r="AX389" s="2">
        <v>50.853613066299999</v>
      </c>
    </row>
    <row r="390" spans="2:50" x14ac:dyDescent="0.25">
      <c r="B390" s="2">
        <v>59</v>
      </c>
      <c r="C390" s="2">
        <v>2179788</v>
      </c>
      <c r="D390" s="2" t="s">
        <v>91</v>
      </c>
      <c r="E390" s="2">
        <v>0</v>
      </c>
      <c r="F390" s="2">
        <v>0</v>
      </c>
      <c r="G390" s="2">
        <v>0</v>
      </c>
      <c r="H390" s="2">
        <v>0</v>
      </c>
      <c r="I390" s="2">
        <v>23</v>
      </c>
      <c r="J390" s="2">
        <v>7</v>
      </c>
      <c r="K390" s="2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  <c r="Q390" s="2">
        <f>SUM(parking_data_1030[[#This Row],[Résidenti]:[Autres]])</f>
        <v>30</v>
      </c>
      <c r="R390" s="2">
        <v>0</v>
      </c>
      <c r="S390" s="2">
        <v>0</v>
      </c>
      <c r="T390" s="2" t="s">
        <v>43</v>
      </c>
      <c r="U390" s="2" t="s">
        <v>44</v>
      </c>
      <c r="V390" s="2" t="s">
        <v>45</v>
      </c>
      <c r="W390" s="2">
        <v>1</v>
      </c>
      <c r="X390" s="2">
        <v>0</v>
      </c>
      <c r="Y390" s="2">
        <v>0</v>
      </c>
      <c r="Z390" s="2">
        <v>0</v>
      </c>
      <c r="AA390" s="2">
        <v>0</v>
      </c>
      <c r="AB390" s="2"/>
      <c r="AC390" s="2">
        <v>0</v>
      </c>
      <c r="AD390" s="2"/>
      <c r="AE390" s="2" t="s">
        <v>46</v>
      </c>
      <c r="AF390" s="2">
        <v>0</v>
      </c>
      <c r="AG390" s="2">
        <v>0</v>
      </c>
      <c r="AH390" s="2" t="s">
        <v>92</v>
      </c>
      <c r="AI390" s="2" t="s">
        <v>43</v>
      </c>
      <c r="AJ390" s="2">
        <v>0</v>
      </c>
      <c r="AK390" s="2">
        <v>30</v>
      </c>
      <c r="AL390" s="2"/>
      <c r="AM390" s="2">
        <v>0</v>
      </c>
      <c r="AN390" s="2">
        <v>0</v>
      </c>
      <c r="AO390" s="2"/>
      <c r="AP390" s="2"/>
      <c r="AQ390" s="2" t="s">
        <v>48</v>
      </c>
      <c r="AR390" s="2" t="s">
        <v>986</v>
      </c>
      <c r="AS390" s="2" t="s">
        <v>987</v>
      </c>
      <c r="AT390" s="2" t="s">
        <v>988</v>
      </c>
      <c r="AU390" s="2" t="s">
        <v>984</v>
      </c>
      <c r="AV390" s="2" t="s">
        <v>835</v>
      </c>
      <c r="AW390" s="2">
        <v>4.3893226496000004</v>
      </c>
      <c r="AX390" s="2">
        <v>50.870556814799997</v>
      </c>
    </row>
    <row r="391" spans="2:50" x14ac:dyDescent="0.25">
      <c r="B391" s="2">
        <v>61</v>
      </c>
      <c r="C391" s="2">
        <v>2132595</v>
      </c>
      <c r="D391" s="2" t="s">
        <v>94</v>
      </c>
      <c r="E391" s="2">
        <v>0</v>
      </c>
      <c r="F391" s="2">
        <v>0</v>
      </c>
      <c r="G391" s="2">
        <v>201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f>SUM(parking_data_1030[[#This Row],[Résidenti]:[Autres]])</f>
        <v>201</v>
      </c>
      <c r="R391" s="2">
        <v>0</v>
      </c>
      <c r="S391" s="2">
        <v>0</v>
      </c>
      <c r="T391" s="2" t="s">
        <v>43</v>
      </c>
      <c r="U391" s="2" t="s">
        <v>95</v>
      </c>
      <c r="V391" s="2" t="s">
        <v>59</v>
      </c>
      <c r="W391" s="2">
        <v>1</v>
      </c>
      <c r="X391" s="2">
        <v>1</v>
      </c>
      <c r="Y391" s="2">
        <v>0</v>
      </c>
      <c r="Z391" s="2">
        <v>0</v>
      </c>
      <c r="AA391" s="2">
        <v>0</v>
      </c>
      <c r="AB391" s="2"/>
      <c r="AC391" s="2">
        <v>0</v>
      </c>
      <c r="AD391" s="3">
        <v>44881</v>
      </c>
      <c r="AE391" s="2" t="s">
        <v>46</v>
      </c>
      <c r="AF391" s="2">
        <v>0</v>
      </c>
      <c r="AG391" s="2">
        <v>0</v>
      </c>
      <c r="AH391" s="2" t="s">
        <v>96</v>
      </c>
      <c r="AI391" s="2" t="s">
        <v>43</v>
      </c>
      <c r="AJ391" s="2">
        <v>0</v>
      </c>
      <c r="AK391" s="2">
        <v>201</v>
      </c>
      <c r="AL391" s="2"/>
      <c r="AM391" s="2">
        <v>3</v>
      </c>
      <c r="AN391" s="2">
        <v>0</v>
      </c>
      <c r="AO391" s="2" t="s">
        <v>97</v>
      </c>
      <c r="AP391" s="2"/>
      <c r="AQ391" s="2" t="s">
        <v>70</v>
      </c>
      <c r="AR391" s="2" t="s">
        <v>990</v>
      </c>
      <c r="AS391" s="2" t="s">
        <v>987</v>
      </c>
      <c r="AT391" s="2" t="s">
        <v>988</v>
      </c>
      <c r="AU391" s="2" t="s">
        <v>989</v>
      </c>
      <c r="AV391" s="2" t="s">
        <v>835</v>
      </c>
      <c r="AW391" s="2">
        <v>4.3865631966</v>
      </c>
      <c r="AX391" s="2">
        <v>50.871241032999997</v>
      </c>
    </row>
    <row r="392" spans="2:50" x14ac:dyDescent="0.25">
      <c r="B392" s="2">
        <v>5</v>
      </c>
      <c r="C392" s="2">
        <v>2176304</v>
      </c>
      <c r="D392" s="2" t="s">
        <v>83</v>
      </c>
      <c r="E392" s="2">
        <v>13</v>
      </c>
      <c r="F392" s="2">
        <v>0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f>SUM(parking_data_1030[[#This Row],[Résidenti]:[Autres]])</f>
        <v>13</v>
      </c>
      <c r="R392" s="2">
        <v>0</v>
      </c>
      <c r="S392" s="2">
        <v>0</v>
      </c>
      <c r="T392" s="2" t="s">
        <v>43</v>
      </c>
      <c r="U392" s="2" t="s">
        <v>44</v>
      </c>
      <c r="V392" s="2" t="s">
        <v>45</v>
      </c>
      <c r="W392" s="2">
        <v>1</v>
      </c>
      <c r="X392" s="2">
        <v>1</v>
      </c>
      <c r="Y392" s="2">
        <v>0</v>
      </c>
      <c r="Z392" s="2">
        <v>0</v>
      </c>
      <c r="AA392" s="2">
        <v>0</v>
      </c>
      <c r="AB392" s="2"/>
      <c r="AC392" s="2">
        <v>0</v>
      </c>
      <c r="AD392" s="2"/>
      <c r="AE392" s="2" t="s">
        <v>46</v>
      </c>
      <c r="AF392" s="2">
        <v>0</v>
      </c>
      <c r="AG392" s="2">
        <v>0</v>
      </c>
      <c r="AH392" s="2"/>
      <c r="AI392" s="2" t="s">
        <v>43</v>
      </c>
      <c r="AJ392" s="2">
        <v>0</v>
      </c>
      <c r="AK392" s="2">
        <v>0</v>
      </c>
      <c r="AL392" s="2"/>
      <c r="AM392" s="2">
        <v>0</v>
      </c>
      <c r="AN392" s="2">
        <v>0</v>
      </c>
      <c r="AO392" s="2"/>
      <c r="AP392" s="2"/>
      <c r="AQ392" s="2" t="s">
        <v>48</v>
      </c>
      <c r="AR392" s="2" t="s">
        <v>849</v>
      </c>
      <c r="AS392" s="2" t="s">
        <v>850</v>
      </c>
      <c r="AT392" s="2" t="s">
        <v>851</v>
      </c>
      <c r="AU392" s="2" t="s">
        <v>844</v>
      </c>
      <c r="AV392" s="2" t="s">
        <v>835</v>
      </c>
      <c r="AW392" s="2">
        <v>4.3803883042000002</v>
      </c>
      <c r="AX392" s="2">
        <v>50.873770937300002</v>
      </c>
    </row>
    <row r="393" spans="2:50" x14ac:dyDescent="0.25">
      <c r="B393" s="2">
        <v>6</v>
      </c>
      <c r="C393" s="2">
        <v>2176300</v>
      </c>
      <c r="D393" s="2" t="s">
        <v>84</v>
      </c>
      <c r="E393" s="2">
        <v>19</v>
      </c>
      <c r="F393" s="2">
        <v>0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f>SUM(parking_data_1030[[#This Row],[Résidenti]:[Autres]])</f>
        <v>19</v>
      </c>
      <c r="R393" s="2">
        <v>0</v>
      </c>
      <c r="S393" s="2">
        <v>0</v>
      </c>
      <c r="T393" s="2" t="s">
        <v>43</v>
      </c>
      <c r="U393" s="2" t="s">
        <v>44</v>
      </c>
      <c r="V393" s="2" t="s">
        <v>45</v>
      </c>
      <c r="W393" s="2">
        <v>1</v>
      </c>
      <c r="X393" s="2">
        <v>1</v>
      </c>
      <c r="Y393" s="2">
        <v>0</v>
      </c>
      <c r="Z393" s="2">
        <v>0</v>
      </c>
      <c r="AA393" s="2">
        <v>0</v>
      </c>
      <c r="AB393" s="2"/>
      <c r="AC393" s="2">
        <v>0</v>
      </c>
      <c r="AD393" s="2"/>
      <c r="AE393" s="2" t="s">
        <v>46</v>
      </c>
      <c r="AF393" s="2">
        <v>0</v>
      </c>
      <c r="AG393" s="2">
        <v>0</v>
      </c>
      <c r="AH393" s="2"/>
      <c r="AI393" s="2" t="s">
        <v>43</v>
      </c>
      <c r="AJ393" s="2">
        <v>0</v>
      </c>
      <c r="AK393" s="2">
        <v>0</v>
      </c>
      <c r="AL393" s="2"/>
      <c r="AM393" s="2">
        <v>0</v>
      </c>
      <c r="AN393" s="2">
        <v>0</v>
      </c>
      <c r="AO393" s="2"/>
      <c r="AP393" s="2"/>
      <c r="AQ393" s="2" t="s">
        <v>48</v>
      </c>
      <c r="AR393" s="2" t="s">
        <v>852</v>
      </c>
      <c r="AS393" s="2" t="s">
        <v>850</v>
      </c>
      <c r="AT393" s="2" t="s">
        <v>851</v>
      </c>
      <c r="AU393" s="2" t="s">
        <v>844</v>
      </c>
      <c r="AV393" s="2" t="s">
        <v>835</v>
      </c>
      <c r="AW393" s="2">
        <v>4.3802888304999996</v>
      </c>
      <c r="AX393" s="2">
        <v>50.873690042600003</v>
      </c>
    </row>
    <row r="394" spans="2:50" x14ac:dyDescent="0.25">
      <c r="B394" s="2">
        <v>7</v>
      </c>
      <c r="C394" s="2">
        <v>2176290</v>
      </c>
      <c r="D394" s="2" t="s">
        <v>85</v>
      </c>
      <c r="E394" s="2">
        <v>29</v>
      </c>
      <c r="F394" s="2">
        <v>0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f>SUM(parking_data_1030[[#This Row],[Résidenti]:[Autres]])</f>
        <v>29</v>
      </c>
      <c r="R394" s="2">
        <v>0</v>
      </c>
      <c r="S394" s="2">
        <v>0</v>
      </c>
      <c r="T394" s="2" t="s">
        <v>43</v>
      </c>
      <c r="U394" s="2" t="s">
        <v>44</v>
      </c>
      <c r="V394" s="2" t="s">
        <v>45</v>
      </c>
      <c r="W394" s="2">
        <v>1</v>
      </c>
      <c r="X394" s="2">
        <v>0</v>
      </c>
      <c r="Y394" s="2">
        <v>0</v>
      </c>
      <c r="Z394" s="2">
        <v>0</v>
      </c>
      <c r="AA394" s="2">
        <v>0</v>
      </c>
      <c r="AB394" s="2"/>
      <c r="AC394" s="2">
        <v>0</v>
      </c>
      <c r="AD394" s="2"/>
      <c r="AE394" s="2" t="s">
        <v>46</v>
      </c>
      <c r="AF394" s="2">
        <v>0</v>
      </c>
      <c r="AG394" s="2">
        <v>0</v>
      </c>
      <c r="AH394" s="2"/>
      <c r="AI394" s="2" t="s">
        <v>43</v>
      </c>
      <c r="AJ394" s="2">
        <v>0</v>
      </c>
      <c r="AK394" s="2">
        <v>0</v>
      </c>
      <c r="AL394" s="2"/>
      <c r="AM394" s="2">
        <v>0</v>
      </c>
      <c r="AN394" s="2">
        <v>0</v>
      </c>
      <c r="AO394" s="2"/>
      <c r="AP394" s="2"/>
      <c r="AQ394" s="2" t="s">
        <v>48</v>
      </c>
      <c r="AR394" s="2" t="s">
        <v>853</v>
      </c>
      <c r="AS394" s="2" t="s">
        <v>850</v>
      </c>
      <c r="AT394" s="2" t="s">
        <v>851</v>
      </c>
      <c r="AU394" s="2" t="s">
        <v>844</v>
      </c>
      <c r="AV394" s="2" t="s">
        <v>835</v>
      </c>
      <c r="AW394" s="2">
        <v>4.3797210352000002</v>
      </c>
      <c r="AX394" s="2">
        <v>50.873235353200002</v>
      </c>
    </row>
    <row r="395" spans="2:50" x14ac:dyDescent="0.25">
      <c r="B395" s="2">
        <v>27</v>
      </c>
      <c r="C395" s="2">
        <v>2176478</v>
      </c>
      <c r="D395" s="2" t="s">
        <v>765</v>
      </c>
      <c r="E395" s="2">
        <v>14</v>
      </c>
      <c r="F395" s="2">
        <v>0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f>SUM(parking_data_1030[[#This Row],[Résidenti]:[Autres]])</f>
        <v>14</v>
      </c>
      <c r="R395" s="2">
        <v>0</v>
      </c>
      <c r="S395" s="2">
        <v>0</v>
      </c>
      <c r="T395" s="2" t="s">
        <v>43</v>
      </c>
      <c r="U395" s="2" t="s">
        <v>44</v>
      </c>
      <c r="V395" s="2" t="s">
        <v>45</v>
      </c>
      <c r="W395" s="2">
        <v>1</v>
      </c>
      <c r="X395" s="2">
        <v>0</v>
      </c>
      <c r="Y395" s="2">
        <v>0</v>
      </c>
      <c r="Z395" s="2">
        <v>0</v>
      </c>
      <c r="AA395" s="2">
        <v>0</v>
      </c>
      <c r="AB395" s="2"/>
      <c r="AC395" s="2">
        <v>0</v>
      </c>
      <c r="AD395" s="2"/>
      <c r="AE395" s="2" t="s">
        <v>46</v>
      </c>
      <c r="AF395" s="2">
        <v>0</v>
      </c>
      <c r="AG395" s="2">
        <v>0</v>
      </c>
      <c r="AH395" s="2"/>
      <c r="AI395" s="2" t="s">
        <v>43</v>
      </c>
      <c r="AJ395" s="2">
        <v>0</v>
      </c>
      <c r="AK395" s="2">
        <v>0</v>
      </c>
      <c r="AL395" s="2"/>
      <c r="AM395" s="2">
        <v>0</v>
      </c>
      <c r="AN395" s="2">
        <v>0</v>
      </c>
      <c r="AO395" s="2"/>
      <c r="AP395" s="2"/>
      <c r="AQ395" s="2" t="s">
        <v>48</v>
      </c>
      <c r="AR395" s="2" t="s">
        <v>905</v>
      </c>
      <c r="AS395" s="2" t="s">
        <v>850</v>
      </c>
      <c r="AT395" s="2" t="s">
        <v>851</v>
      </c>
      <c r="AU395" s="2" t="s">
        <v>906</v>
      </c>
      <c r="AV395" s="2" t="s">
        <v>835</v>
      </c>
      <c r="AW395" s="2">
        <v>4.3805809621999998</v>
      </c>
      <c r="AX395" s="2">
        <v>50.8734340532</v>
      </c>
    </row>
    <row r="396" spans="2:50" x14ac:dyDescent="0.25">
      <c r="B396" s="2">
        <v>64</v>
      </c>
      <c r="C396" s="2">
        <v>2176292</v>
      </c>
      <c r="D396" s="2" t="s">
        <v>707</v>
      </c>
      <c r="E396" s="2">
        <v>30</v>
      </c>
      <c r="F396" s="2">
        <v>0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f>SUM(parking_data_1030[[#This Row],[Résidenti]:[Autres]])</f>
        <v>30</v>
      </c>
      <c r="R396" s="2">
        <v>0</v>
      </c>
      <c r="S396" s="2">
        <v>0</v>
      </c>
      <c r="T396" s="2" t="s">
        <v>79</v>
      </c>
      <c r="U396" s="2" t="s">
        <v>44</v>
      </c>
      <c r="V396" s="2" t="s">
        <v>45</v>
      </c>
      <c r="W396" s="2">
        <v>0</v>
      </c>
      <c r="X396" s="2">
        <v>0</v>
      </c>
      <c r="Y396" s="2">
        <v>0</v>
      </c>
      <c r="Z396" s="2">
        <v>0</v>
      </c>
      <c r="AA396" s="2">
        <v>1</v>
      </c>
      <c r="AB396" s="2"/>
      <c r="AC396" s="2">
        <v>0</v>
      </c>
      <c r="AD396" s="2"/>
      <c r="AE396" s="2" t="s">
        <v>46</v>
      </c>
      <c r="AF396" s="2">
        <v>0</v>
      </c>
      <c r="AG396" s="2">
        <v>0</v>
      </c>
      <c r="AH396" s="2"/>
      <c r="AI396" s="2" t="s">
        <v>43</v>
      </c>
      <c r="AJ396" s="2">
        <v>0</v>
      </c>
      <c r="AK396" s="2">
        <v>0</v>
      </c>
      <c r="AL396" s="2"/>
      <c r="AM396" s="2">
        <v>0</v>
      </c>
      <c r="AN396" s="2">
        <v>0</v>
      </c>
      <c r="AO396" s="2"/>
      <c r="AP396" s="2"/>
      <c r="AQ396" s="2" t="s">
        <v>48</v>
      </c>
      <c r="AR396" s="2" t="s">
        <v>934</v>
      </c>
      <c r="AS396" s="2" t="s">
        <v>850</v>
      </c>
      <c r="AT396" s="2" t="s">
        <v>851</v>
      </c>
      <c r="AU396" s="2" t="s">
        <v>844</v>
      </c>
      <c r="AV396" s="2" t="s">
        <v>835</v>
      </c>
      <c r="AW396" s="2">
        <v>4.3799082902000004</v>
      </c>
      <c r="AX396" s="2">
        <v>50.873395244299999</v>
      </c>
    </row>
    <row r="397" spans="2:50" x14ac:dyDescent="0.25">
      <c r="B397" s="2">
        <v>218</v>
      </c>
      <c r="C397" s="2">
        <v>2158122</v>
      </c>
      <c r="D397" s="2" t="s">
        <v>145</v>
      </c>
      <c r="E397" s="2">
        <v>60</v>
      </c>
      <c r="F397" s="2">
        <v>0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f>SUM(parking_data_1030[[#This Row],[Résidenti]:[Autres]])</f>
        <v>60</v>
      </c>
      <c r="R397" s="2">
        <v>0</v>
      </c>
      <c r="S397" s="2">
        <v>0</v>
      </c>
      <c r="T397" s="2" t="s">
        <v>43</v>
      </c>
      <c r="U397" s="2" t="s">
        <v>110</v>
      </c>
      <c r="V397" s="2" t="s">
        <v>45</v>
      </c>
      <c r="W397" s="2">
        <v>1</v>
      </c>
      <c r="X397" s="2">
        <v>1</v>
      </c>
      <c r="Y397" s="2">
        <v>0</v>
      </c>
      <c r="Z397" s="2">
        <v>0</v>
      </c>
      <c r="AA397" s="2">
        <v>0</v>
      </c>
      <c r="AB397" s="2"/>
      <c r="AC397" s="2">
        <v>0</v>
      </c>
      <c r="AD397" s="2"/>
      <c r="AE397" s="2" t="s">
        <v>46</v>
      </c>
      <c r="AF397" s="2">
        <v>0</v>
      </c>
      <c r="AG397" s="2">
        <v>0</v>
      </c>
      <c r="AH397" s="2"/>
      <c r="AI397" s="2" t="s">
        <v>43</v>
      </c>
      <c r="AJ397" s="2">
        <v>0</v>
      </c>
      <c r="AK397" s="2">
        <v>0</v>
      </c>
      <c r="AL397" s="2"/>
      <c r="AM397" s="2">
        <v>0</v>
      </c>
      <c r="AN397" s="2">
        <v>0</v>
      </c>
      <c r="AO397" s="2"/>
      <c r="AP397" s="2"/>
      <c r="AQ397" s="2" t="s">
        <v>48</v>
      </c>
      <c r="AR397" s="2" t="s">
        <v>1093</v>
      </c>
      <c r="AS397" s="2" t="s">
        <v>1244</v>
      </c>
      <c r="AT397" s="2" t="s">
        <v>1245</v>
      </c>
      <c r="AU397" s="2" t="s">
        <v>1240</v>
      </c>
      <c r="AV397" s="2" t="s">
        <v>1142</v>
      </c>
      <c r="AW397" s="2">
        <v>4.3979151455999999</v>
      </c>
      <c r="AX397" s="2">
        <v>50.852531748099999</v>
      </c>
    </row>
    <row r="398" spans="2:50" x14ac:dyDescent="0.25">
      <c r="B398" s="2">
        <v>219</v>
      </c>
      <c r="C398" s="2">
        <v>2158148</v>
      </c>
      <c r="D398" s="2" t="s">
        <v>146</v>
      </c>
      <c r="E398" s="2">
        <v>58</v>
      </c>
      <c r="F398" s="2">
        <v>0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f>SUM(parking_data_1030[[#This Row],[Résidenti]:[Autres]])</f>
        <v>58</v>
      </c>
      <c r="R398" s="2">
        <v>0</v>
      </c>
      <c r="S398" s="2">
        <v>0</v>
      </c>
      <c r="T398" s="2" t="s">
        <v>43</v>
      </c>
      <c r="U398" s="2" t="s">
        <v>54</v>
      </c>
      <c r="V398" s="2" t="s">
        <v>45</v>
      </c>
      <c r="W398" s="2">
        <v>1</v>
      </c>
      <c r="X398" s="2">
        <v>1</v>
      </c>
      <c r="Y398" s="2">
        <v>0</v>
      </c>
      <c r="Z398" s="2">
        <v>0</v>
      </c>
      <c r="AA398" s="2">
        <v>0</v>
      </c>
      <c r="AB398" s="2"/>
      <c r="AC398" s="2">
        <v>0</v>
      </c>
      <c r="AD398" s="2"/>
      <c r="AE398" s="2" t="s">
        <v>46</v>
      </c>
      <c r="AF398" s="2">
        <v>0</v>
      </c>
      <c r="AG398" s="2">
        <v>0</v>
      </c>
      <c r="AH398" s="2"/>
      <c r="AI398" s="2" t="s">
        <v>43</v>
      </c>
      <c r="AJ398" s="2">
        <v>0</v>
      </c>
      <c r="AK398" s="2">
        <v>0</v>
      </c>
      <c r="AL398" s="2"/>
      <c r="AM398" s="2">
        <v>0</v>
      </c>
      <c r="AN398" s="2">
        <v>0</v>
      </c>
      <c r="AO398" s="2"/>
      <c r="AP398" s="2"/>
      <c r="AQ398" s="2" t="s">
        <v>48</v>
      </c>
      <c r="AR398" s="2" t="s">
        <v>1246</v>
      </c>
      <c r="AS398" s="2" t="s">
        <v>1244</v>
      </c>
      <c r="AT398" s="2" t="s">
        <v>1245</v>
      </c>
      <c r="AU398" s="2" t="s">
        <v>1240</v>
      </c>
      <c r="AV398" s="2" t="s">
        <v>1142</v>
      </c>
      <c r="AW398" s="2">
        <v>4.3988295705000002</v>
      </c>
      <c r="AX398" s="2">
        <v>50.852515259100002</v>
      </c>
    </row>
    <row r="399" spans="2:50" x14ac:dyDescent="0.25">
      <c r="B399" s="2">
        <v>220</v>
      </c>
      <c r="C399" s="2">
        <v>2158067</v>
      </c>
      <c r="D399" s="2" t="s">
        <v>147</v>
      </c>
      <c r="E399" s="2">
        <v>39</v>
      </c>
      <c r="F399" s="2">
        <v>0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f>SUM(parking_data_1030[[#This Row],[Résidenti]:[Autres]])</f>
        <v>39</v>
      </c>
      <c r="R399" s="2">
        <v>0</v>
      </c>
      <c r="S399" s="2">
        <v>0</v>
      </c>
      <c r="T399" s="2" t="s">
        <v>43</v>
      </c>
      <c r="U399" s="2" t="s">
        <v>110</v>
      </c>
      <c r="V399" s="2" t="s">
        <v>45</v>
      </c>
      <c r="W399" s="2">
        <v>1</v>
      </c>
      <c r="X399" s="2">
        <v>1</v>
      </c>
      <c r="Y399" s="2">
        <v>0</v>
      </c>
      <c r="Z399" s="2">
        <v>0</v>
      </c>
      <c r="AA399" s="2">
        <v>0</v>
      </c>
      <c r="AB399" s="2"/>
      <c r="AC399" s="2">
        <v>0</v>
      </c>
      <c r="AD399" s="2"/>
      <c r="AE399" s="2" t="s">
        <v>46</v>
      </c>
      <c r="AF399" s="2">
        <v>0</v>
      </c>
      <c r="AG399" s="2">
        <v>0</v>
      </c>
      <c r="AH399" s="2"/>
      <c r="AI399" s="2" t="s">
        <v>43</v>
      </c>
      <c r="AJ399" s="2">
        <v>0</v>
      </c>
      <c r="AK399" s="2">
        <v>0</v>
      </c>
      <c r="AL399" s="2"/>
      <c r="AM399" s="2">
        <v>0</v>
      </c>
      <c r="AN399" s="2">
        <v>0</v>
      </c>
      <c r="AO399" s="2"/>
      <c r="AP399" s="2"/>
      <c r="AQ399" s="2" t="s">
        <v>48</v>
      </c>
      <c r="AR399" s="2" t="s">
        <v>1247</v>
      </c>
      <c r="AS399" s="2" t="s">
        <v>1244</v>
      </c>
      <c r="AT399" s="2" t="s">
        <v>1245</v>
      </c>
      <c r="AU399" s="2" t="s">
        <v>1248</v>
      </c>
      <c r="AV399" s="2" t="s">
        <v>1142</v>
      </c>
      <c r="AW399" s="2">
        <v>4.3989759259000003</v>
      </c>
      <c r="AX399" s="2">
        <v>50.852825274700002</v>
      </c>
    </row>
    <row r="400" spans="2:50" x14ac:dyDescent="0.25">
      <c r="B400" s="2">
        <v>221</v>
      </c>
      <c r="C400" s="2">
        <v>2158073</v>
      </c>
      <c r="D400" s="2" t="s">
        <v>148</v>
      </c>
      <c r="E400" s="2">
        <v>40</v>
      </c>
      <c r="F400" s="2">
        <v>0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f>SUM(parking_data_1030[[#This Row],[Résidenti]:[Autres]])</f>
        <v>40</v>
      </c>
      <c r="R400" s="2">
        <v>0</v>
      </c>
      <c r="S400" s="2">
        <v>0</v>
      </c>
      <c r="T400" s="2" t="s">
        <v>43</v>
      </c>
      <c r="U400" s="2" t="s">
        <v>110</v>
      </c>
      <c r="V400" s="2" t="s">
        <v>59</v>
      </c>
      <c r="W400" s="2">
        <v>1</v>
      </c>
      <c r="X400" s="2">
        <v>1</v>
      </c>
      <c r="Y400" s="2">
        <v>0</v>
      </c>
      <c r="Z400" s="2">
        <v>0</v>
      </c>
      <c r="AA400" s="2">
        <v>0</v>
      </c>
      <c r="AB400" s="2"/>
      <c r="AC400" s="2">
        <v>0</v>
      </c>
      <c r="AD400" s="2"/>
      <c r="AE400" s="2" t="s">
        <v>46</v>
      </c>
      <c r="AF400" s="2">
        <v>0</v>
      </c>
      <c r="AG400" s="2">
        <v>0</v>
      </c>
      <c r="AH400" s="2"/>
      <c r="AI400" s="2" t="s">
        <v>43</v>
      </c>
      <c r="AJ400" s="2">
        <v>0</v>
      </c>
      <c r="AK400" s="2">
        <v>0</v>
      </c>
      <c r="AL400" s="2"/>
      <c r="AM400" s="2">
        <v>0</v>
      </c>
      <c r="AN400" s="2">
        <v>0</v>
      </c>
      <c r="AO400" s="2"/>
      <c r="AP400" s="2"/>
      <c r="AQ400" s="2" t="s">
        <v>48</v>
      </c>
      <c r="AR400" s="2" t="s">
        <v>1249</v>
      </c>
      <c r="AS400" s="2" t="s">
        <v>1244</v>
      </c>
      <c r="AT400" s="2" t="s">
        <v>1245</v>
      </c>
      <c r="AU400" s="2" t="s">
        <v>1248</v>
      </c>
      <c r="AV400" s="2" t="s">
        <v>1142</v>
      </c>
      <c r="AW400" s="2">
        <v>4.3984209523000004</v>
      </c>
      <c r="AX400" s="2">
        <v>50.852842922599997</v>
      </c>
    </row>
    <row r="401" spans="2:50" x14ac:dyDescent="0.25">
      <c r="B401" s="2">
        <v>47</v>
      </c>
      <c r="C401" s="2">
        <v>2180057</v>
      </c>
      <c r="D401" s="2" t="s">
        <v>129</v>
      </c>
      <c r="E401" s="2">
        <v>10</v>
      </c>
      <c r="F401" s="2">
        <v>0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f>SUM(parking_data_1030[[#This Row],[Résidenti]:[Autres]])</f>
        <v>10</v>
      </c>
      <c r="R401" s="2">
        <v>0</v>
      </c>
      <c r="S401" s="2">
        <v>0</v>
      </c>
      <c r="T401" s="2" t="s">
        <v>43</v>
      </c>
      <c r="U401" s="2" t="s">
        <v>44</v>
      </c>
      <c r="V401" s="2" t="s">
        <v>45</v>
      </c>
      <c r="W401" s="2">
        <v>0</v>
      </c>
      <c r="X401" s="2">
        <v>1</v>
      </c>
      <c r="Y401" s="2">
        <v>0</v>
      </c>
      <c r="Z401" s="2">
        <v>1</v>
      </c>
      <c r="AA401" s="2">
        <v>0</v>
      </c>
      <c r="AB401" s="2"/>
      <c r="AC401" s="2">
        <v>0</v>
      </c>
      <c r="AD401" s="2"/>
      <c r="AE401" s="2" t="s">
        <v>106</v>
      </c>
      <c r="AF401" s="2">
        <v>0</v>
      </c>
      <c r="AG401" s="2">
        <v>0</v>
      </c>
      <c r="AH401" s="2" t="s">
        <v>120</v>
      </c>
      <c r="AI401" s="2" t="s">
        <v>43</v>
      </c>
      <c r="AJ401" s="2">
        <v>0</v>
      </c>
      <c r="AK401" s="2">
        <v>0</v>
      </c>
      <c r="AL401" s="2"/>
      <c r="AM401" s="2">
        <v>0</v>
      </c>
      <c r="AN401" s="2">
        <v>0</v>
      </c>
      <c r="AO401" s="2"/>
      <c r="AP401" s="2"/>
      <c r="AQ401" s="2" t="s">
        <v>48</v>
      </c>
      <c r="AR401" s="2" t="s">
        <v>956</v>
      </c>
      <c r="AS401" s="2" t="s">
        <v>957</v>
      </c>
      <c r="AT401" s="2" t="s">
        <v>958</v>
      </c>
      <c r="AU401" s="2" t="s">
        <v>959</v>
      </c>
      <c r="AV401" s="2" t="s">
        <v>835</v>
      </c>
      <c r="AW401" s="2">
        <v>4.3934197856999999</v>
      </c>
      <c r="AX401" s="2">
        <v>50.872287837899997</v>
      </c>
    </row>
    <row r="402" spans="2:50" x14ac:dyDescent="0.25">
      <c r="B402" s="2">
        <v>77</v>
      </c>
      <c r="C402" s="2">
        <v>10006050</v>
      </c>
      <c r="D402" s="2" t="s">
        <v>704</v>
      </c>
      <c r="E402" s="2">
        <v>97</v>
      </c>
      <c r="F402" s="2">
        <v>0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f>SUM(parking_data_1030[[#This Row],[Résidenti]:[Autres]])</f>
        <v>97</v>
      </c>
      <c r="R402" s="2">
        <v>0</v>
      </c>
      <c r="S402" s="2">
        <v>0</v>
      </c>
      <c r="T402" s="2" t="s">
        <v>43</v>
      </c>
      <c r="U402" s="2" t="s">
        <v>76</v>
      </c>
      <c r="V402" s="2" t="s">
        <v>45</v>
      </c>
      <c r="W402" s="2">
        <v>1</v>
      </c>
      <c r="X402" s="2">
        <v>0</v>
      </c>
      <c r="Y402" s="2">
        <v>0</v>
      </c>
      <c r="Z402" s="2">
        <v>0</v>
      </c>
      <c r="AA402" s="2">
        <v>0</v>
      </c>
      <c r="AB402" s="2"/>
      <c r="AC402" s="2">
        <v>0</v>
      </c>
      <c r="AD402" s="3">
        <v>45100</v>
      </c>
      <c r="AE402" s="2" t="s">
        <v>106</v>
      </c>
      <c r="AF402" s="2">
        <v>0</v>
      </c>
      <c r="AG402" s="2">
        <v>0</v>
      </c>
      <c r="AH402" s="2"/>
      <c r="AI402" s="2" t="s">
        <v>43</v>
      </c>
      <c r="AJ402" s="2">
        <v>0</v>
      </c>
      <c r="AK402" s="2">
        <v>0</v>
      </c>
      <c r="AL402" s="2"/>
      <c r="AM402" s="2">
        <v>0</v>
      </c>
      <c r="AN402" s="2">
        <v>0</v>
      </c>
      <c r="AO402" s="2"/>
      <c r="AP402" s="2"/>
      <c r="AQ402" s="2" t="s">
        <v>48</v>
      </c>
      <c r="AR402" s="2" t="s">
        <v>1023</v>
      </c>
      <c r="AS402" s="2" t="s">
        <v>1024</v>
      </c>
      <c r="AT402" s="2" t="s">
        <v>1025</v>
      </c>
      <c r="AU402" s="2" t="s">
        <v>1022</v>
      </c>
      <c r="AV402" s="2" t="s">
        <v>1000</v>
      </c>
      <c r="AW402" s="2">
        <v>4.3905415304000002</v>
      </c>
      <c r="AX402" s="2">
        <v>50.868423371600002</v>
      </c>
    </row>
    <row r="403" spans="2:50" x14ac:dyDescent="0.25">
      <c r="B403" s="2">
        <v>79</v>
      </c>
      <c r="C403" s="2">
        <v>2132618</v>
      </c>
      <c r="D403" s="2" t="s">
        <v>687</v>
      </c>
      <c r="E403" s="2">
        <v>156</v>
      </c>
      <c r="F403" s="2">
        <v>0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f>SUM(parking_data_1030[[#This Row],[Résidenti]:[Autres]])</f>
        <v>156</v>
      </c>
      <c r="R403" s="2">
        <v>0</v>
      </c>
      <c r="S403" s="2">
        <v>0</v>
      </c>
      <c r="T403" s="2" t="s">
        <v>43</v>
      </c>
      <c r="U403" s="2" t="s">
        <v>76</v>
      </c>
      <c r="V403" s="2" t="s">
        <v>45</v>
      </c>
      <c r="W403" s="2">
        <v>1</v>
      </c>
      <c r="X403" s="2">
        <v>1</v>
      </c>
      <c r="Y403" s="2">
        <v>0</v>
      </c>
      <c r="Z403" s="2">
        <v>0</v>
      </c>
      <c r="AA403" s="2">
        <v>0</v>
      </c>
      <c r="AB403" s="2"/>
      <c r="AC403" s="2">
        <v>0</v>
      </c>
      <c r="AD403" s="2"/>
      <c r="AE403" s="2" t="s">
        <v>106</v>
      </c>
      <c r="AF403" s="2">
        <v>0</v>
      </c>
      <c r="AG403" s="2">
        <v>0</v>
      </c>
      <c r="AH403" s="2" t="s">
        <v>706</v>
      </c>
      <c r="AI403" s="2" t="s">
        <v>43</v>
      </c>
      <c r="AJ403" s="2">
        <v>0</v>
      </c>
      <c r="AK403" s="2">
        <v>0</v>
      </c>
      <c r="AL403" s="2"/>
      <c r="AM403" s="2">
        <v>0</v>
      </c>
      <c r="AN403" s="2">
        <v>0</v>
      </c>
      <c r="AO403" s="2"/>
      <c r="AP403" s="2"/>
      <c r="AQ403" s="2" t="s">
        <v>48</v>
      </c>
      <c r="AR403" s="2" t="s">
        <v>968</v>
      </c>
      <c r="AS403" s="2" t="s">
        <v>1024</v>
      </c>
      <c r="AT403" s="2" t="s">
        <v>1025</v>
      </c>
      <c r="AU403" s="2" t="s">
        <v>1029</v>
      </c>
      <c r="AV403" s="2" t="s">
        <v>1000</v>
      </c>
      <c r="AW403" s="2">
        <v>4.3895852594999996</v>
      </c>
      <c r="AX403" s="2">
        <v>50.868069519499997</v>
      </c>
    </row>
    <row r="404" spans="2:50" x14ac:dyDescent="0.25">
      <c r="B404" s="2">
        <v>80</v>
      </c>
      <c r="C404" s="2">
        <v>2132618</v>
      </c>
      <c r="D404" s="2" t="s">
        <v>687</v>
      </c>
      <c r="E404" s="2">
        <v>18</v>
      </c>
      <c r="F404" s="2">
        <v>0</v>
      </c>
      <c r="G404" s="2">
        <v>0</v>
      </c>
      <c r="H404" s="2">
        <v>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 s="2">
        <v>0</v>
      </c>
      <c r="O404" s="2">
        <v>0</v>
      </c>
      <c r="P404" s="2">
        <v>0</v>
      </c>
      <c r="Q404" s="2">
        <f>SUM(parking_data_1030[[#This Row],[Résidenti]:[Autres]])</f>
        <v>18</v>
      </c>
      <c r="R404" s="2">
        <v>0</v>
      </c>
      <c r="S404" s="2">
        <v>0</v>
      </c>
      <c r="T404" s="2" t="s">
        <v>43</v>
      </c>
      <c r="U404" s="2" t="s">
        <v>64</v>
      </c>
      <c r="V404" s="2" t="s">
        <v>45</v>
      </c>
      <c r="W404" s="2">
        <v>0</v>
      </c>
      <c r="X404" s="2">
        <v>0</v>
      </c>
      <c r="Y404" s="2">
        <v>0</v>
      </c>
      <c r="Z404" s="2">
        <v>1</v>
      </c>
      <c r="AA404" s="2">
        <v>0</v>
      </c>
      <c r="AB404" s="2"/>
      <c r="AC404" s="2">
        <v>0</v>
      </c>
      <c r="AD404" s="2"/>
      <c r="AE404" s="2" t="s">
        <v>46</v>
      </c>
      <c r="AF404" s="2">
        <v>0</v>
      </c>
      <c r="AG404" s="2">
        <v>0</v>
      </c>
      <c r="AH404" s="2" t="s">
        <v>688</v>
      </c>
      <c r="AI404" s="2" t="s">
        <v>43</v>
      </c>
      <c r="AJ404" s="2">
        <v>0</v>
      </c>
      <c r="AK404" s="2">
        <v>0</v>
      </c>
      <c r="AL404" s="2"/>
      <c r="AM404" s="2">
        <v>0</v>
      </c>
      <c r="AN404" s="2">
        <v>0</v>
      </c>
      <c r="AO404" s="2"/>
      <c r="AP404" s="2"/>
      <c r="AQ404" s="2" t="s">
        <v>48</v>
      </c>
      <c r="AR404" s="2" t="s">
        <v>968</v>
      </c>
      <c r="AS404" s="2" t="s">
        <v>1024</v>
      </c>
      <c r="AT404" s="2" t="s">
        <v>1025</v>
      </c>
      <c r="AU404" s="2" t="s">
        <v>1029</v>
      </c>
      <c r="AV404" s="2" t="s">
        <v>1000</v>
      </c>
      <c r="AW404" s="2">
        <v>4.3895852594999996</v>
      </c>
      <c r="AX404" s="2">
        <v>50.868069519499997</v>
      </c>
    </row>
    <row r="405" spans="2:50" x14ac:dyDescent="0.25">
      <c r="B405" s="2">
        <v>343</v>
      </c>
      <c r="C405" s="2">
        <v>2145715</v>
      </c>
      <c r="D405" s="2" t="s">
        <v>342</v>
      </c>
      <c r="E405" s="2">
        <v>0</v>
      </c>
      <c r="F405" s="2">
        <v>0</v>
      </c>
      <c r="G405" s="2">
        <v>0</v>
      </c>
      <c r="H405" s="2">
        <v>0</v>
      </c>
      <c r="I405" s="2">
        <v>18</v>
      </c>
      <c r="J405" s="2">
        <v>14</v>
      </c>
      <c r="K405" s="2">
        <v>0</v>
      </c>
      <c r="L405" s="2">
        <v>0</v>
      </c>
      <c r="M405" s="2">
        <v>0</v>
      </c>
      <c r="N405" s="2">
        <v>0</v>
      </c>
      <c r="O405" s="2">
        <v>0</v>
      </c>
      <c r="P405" s="2">
        <v>0</v>
      </c>
      <c r="Q405" s="2">
        <f>SUM(parking_data_1030[[#This Row],[Résidenti]:[Autres]])</f>
        <v>32</v>
      </c>
      <c r="R405" s="2">
        <v>0</v>
      </c>
      <c r="S405" s="2">
        <v>0</v>
      </c>
      <c r="T405" s="2" t="s">
        <v>43</v>
      </c>
      <c r="U405" s="2" t="s">
        <v>44</v>
      </c>
      <c r="V405" s="2" t="s">
        <v>45</v>
      </c>
      <c r="W405" s="2">
        <v>1</v>
      </c>
      <c r="X405" s="2">
        <v>1</v>
      </c>
      <c r="Y405" s="2">
        <v>0</v>
      </c>
      <c r="Z405" s="2">
        <v>0</v>
      </c>
      <c r="AA405" s="2">
        <v>0</v>
      </c>
      <c r="AB405" s="2"/>
      <c r="AC405" s="2">
        <v>0</v>
      </c>
      <c r="AD405" s="2"/>
      <c r="AE405" s="2" t="s">
        <v>46</v>
      </c>
      <c r="AF405" s="2">
        <v>0</v>
      </c>
      <c r="AG405" s="2">
        <v>0</v>
      </c>
      <c r="AH405" s="2" t="s">
        <v>343</v>
      </c>
      <c r="AI405" s="2" t="s">
        <v>43</v>
      </c>
      <c r="AJ405" s="2">
        <v>0</v>
      </c>
      <c r="AK405" s="2">
        <v>32</v>
      </c>
      <c r="AL405" s="2"/>
      <c r="AM405" s="2">
        <v>0</v>
      </c>
      <c r="AN405" s="2">
        <v>0</v>
      </c>
      <c r="AO405" s="2"/>
      <c r="AP405" s="2"/>
      <c r="AQ405" s="2" t="s">
        <v>48</v>
      </c>
      <c r="AR405" s="2" t="s">
        <v>1004</v>
      </c>
      <c r="AS405" s="2" t="s">
        <v>1437</v>
      </c>
      <c r="AT405" s="2" t="s">
        <v>1438</v>
      </c>
      <c r="AU405" s="2" t="s">
        <v>1436</v>
      </c>
      <c r="AV405" s="2" t="s">
        <v>1420</v>
      </c>
      <c r="AW405" s="2">
        <v>4.3760447305000003</v>
      </c>
      <c r="AX405" s="2">
        <v>50.8587483401</v>
      </c>
    </row>
    <row r="406" spans="2:50" x14ac:dyDescent="0.25">
      <c r="B406" s="2">
        <v>290</v>
      </c>
      <c r="C406" s="2">
        <v>2139978</v>
      </c>
      <c r="D406" s="2" t="s">
        <v>511</v>
      </c>
      <c r="E406" s="2">
        <v>0</v>
      </c>
      <c r="F406" s="2">
        <v>0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f>SUM(parking_data_1030[[#This Row],[Résidenti]:[Autres]])</f>
        <v>0</v>
      </c>
      <c r="R406" s="2">
        <v>0</v>
      </c>
      <c r="S406" s="2">
        <v>0</v>
      </c>
      <c r="T406" s="2" t="s">
        <v>43</v>
      </c>
      <c r="U406" s="2" t="s">
        <v>44</v>
      </c>
      <c r="V406" s="2" t="s">
        <v>45</v>
      </c>
      <c r="W406" s="2">
        <v>0</v>
      </c>
      <c r="X406" s="2">
        <v>0</v>
      </c>
      <c r="Y406" s="2">
        <v>0</v>
      </c>
      <c r="Z406" s="2">
        <v>1</v>
      </c>
      <c r="AA406" s="2">
        <v>0</v>
      </c>
      <c r="AB406" s="2" t="s">
        <v>191</v>
      </c>
      <c r="AC406" s="2">
        <v>0</v>
      </c>
      <c r="AD406" s="2"/>
      <c r="AE406" s="2" t="s">
        <v>106</v>
      </c>
      <c r="AF406" s="2">
        <v>0</v>
      </c>
      <c r="AG406" s="2">
        <v>0</v>
      </c>
      <c r="AH406" s="2" t="s">
        <v>192</v>
      </c>
      <c r="AI406" s="2" t="s">
        <v>79</v>
      </c>
      <c r="AJ406" s="2">
        <v>0</v>
      </c>
      <c r="AK406" s="2">
        <v>0</v>
      </c>
      <c r="AL406" s="2"/>
      <c r="AM406" s="2">
        <v>0</v>
      </c>
      <c r="AN406" s="2">
        <v>0</v>
      </c>
      <c r="AO406" s="2"/>
      <c r="AP406" s="2"/>
      <c r="AQ406" s="2" t="s">
        <v>48</v>
      </c>
      <c r="AR406" s="2" t="s">
        <v>870</v>
      </c>
      <c r="AS406" s="2" t="s">
        <v>1348</v>
      </c>
      <c r="AT406" s="2" t="s">
        <v>1349</v>
      </c>
      <c r="AU406" s="2" t="s">
        <v>1350</v>
      </c>
      <c r="AV406" s="2" t="s">
        <v>1137</v>
      </c>
      <c r="AW406" s="2">
        <v>4.383651328</v>
      </c>
      <c r="AX406" s="2">
        <v>50.851926276900002</v>
      </c>
    </row>
    <row r="407" spans="2:50" x14ac:dyDescent="0.25">
      <c r="B407" s="2">
        <v>291</v>
      </c>
      <c r="C407" s="2">
        <v>2151919</v>
      </c>
      <c r="D407" s="2" t="s">
        <v>512</v>
      </c>
      <c r="E407" s="2">
        <v>0</v>
      </c>
      <c r="F407" s="2">
        <v>0</v>
      </c>
      <c r="G407" s="2">
        <v>0</v>
      </c>
      <c r="H407" s="2">
        <v>7</v>
      </c>
      <c r="I407" s="2">
        <v>13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f>SUM(parking_data_1030[[#This Row],[Résidenti]:[Autres]])</f>
        <v>20</v>
      </c>
      <c r="R407" s="2">
        <v>0</v>
      </c>
      <c r="S407" s="2">
        <v>0</v>
      </c>
      <c r="T407" s="2" t="s">
        <v>79</v>
      </c>
      <c r="U407" s="2" t="s">
        <v>44</v>
      </c>
      <c r="V407" s="2" t="s">
        <v>45</v>
      </c>
      <c r="W407" s="2">
        <v>1</v>
      </c>
      <c r="X407" s="2">
        <v>1</v>
      </c>
      <c r="Y407" s="2">
        <v>1</v>
      </c>
      <c r="Z407" s="2">
        <v>0</v>
      </c>
      <c r="AA407" s="2">
        <v>0</v>
      </c>
      <c r="AB407" s="2"/>
      <c r="AC407" s="2">
        <v>0</v>
      </c>
      <c r="AD407" s="2"/>
      <c r="AE407" s="2" t="s">
        <v>106</v>
      </c>
      <c r="AF407" s="2">
        <v>0</v>
      </c>
      <c r="AG407" s="2">
        <v>0</v>
      </c>
      <c r="AH407" s="2" t="s">
        <v>513</v>
      </c>
      <c r="AI407" s="2" t="s">
        <v>43</v>
      </c>
      <c r="AJ407" s="2">
        <v>0</v>
      </c>
      <c r="AK407" s="2">
        <v>20</v>
      </c>
      <c r="AL407" s="2"/>
      <c r="AM407" s="2">
        <v>0</v>
      </c>
      <c r="AN407" s="2">
        <v>0</v>
      </c>
      <c r="AO407" s="2"/>
      <c r="AP407" s="2"/>
      <c r="AQ407" s="2" t="s">
        <v>48</v>
      </c>
      <c r="AR407" s="2" t="s">
        <v>1351</v>
      </c>
      <c r="AS407" s="2" t="s">
        <v>1348</v>
      </c>
      <c r="AT407" s="2" t="s">
        <v>1349</v>
      </c>
      <c r="AU407" s="2" t="s">
        <v>1352</v>
      </c>
      <c r="AV407" s="2" t="s">
        <v>1137</v>
      </c>
      <c r="AW407" s="2">
        <v>4.3840365709000002</v>
      </c>
      <c r="AX407" s="2">
        <v>50.852275036000002</v>
      </c>
    </row>
    <row r="408" spans="2:50" x14ac:dyDescent="0.25">
      <c r="B408" s="2">
        <v>293</v>
      </c>
      <c r="C408" s="2">
        <v>2132955</v>
      </c>
      <c r="D408" s="2" t="s">
        <v>516</v>
      </c>
      <c r="E408" s="2">
        <v>0</v>
      </c>
      <c r="F408" s="2">
        <v>0</v>
      </c>
      <c r="G408" s="2">
        <v>0</v>
      </c>
      <c r="H408" s="2">
        <v>14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f>SUM(parking_data_1030[[#This Row],[Résidenti]:[Autres]])</f>
        <v>14</v>
      </c>
      <c r="R408" s="2">
        <v>0</v>
      </c>
      <c r="S408" s="2">
        <v>0</v>
      </c>
      <c r="T408" s="2" t="s">
        <v>43</v>
      </c>
      <c r="U408" s="2" t="s">
        <v>64</v>
      </c>
      <c r="V408" s="2" t="s">
        <v>45</v>
      </c>
      <c r="W408" s="2">
        <v>1</v>
      </c>
      <c r="X408" s="2">
        <v>1</v>
      </c>
      <c r="Y408" s="2">
        <v>1</v>
      </c>
      <c r="Z408" s="2">
        <v>0</v>
      </c>
      <c r="AA408" s="2">
        <v>1</v>
      </c>
      <c r="AB408" s="2"/>
      <c r="AC408" s="2">
        <v>0</v>
      </c>
      <c r="AD408" s="3">
        <v>47503</v>
      </c>
      <c r="AE408" s="2" t="s">
        <v>106</v>
      </c>
      <c r="AF408" s="2">
        <v>1386</v>
      </c>
      <c r="AG408" s="2">
        <v>24</v>
      </c>
      <c r="AH408" s="2"/>
      <c r="AI408" s="2" t="s">
        <v>43</v>
      </c>
      <c r="AJ408" s="2">
        <v>10</v>
      </c>
      <c r="AK408" s="2">
        <v>14</v>
      </c>
      <c r="AL408" s="2"/>
      <c r="AM408" s="2">
        <v>0</v>
      </c>
      <c r="AN408" s="2">
        <v>0</v>
      </c>
      <c r="AO408" s="2"/>
      <c r="AP408" s="2"/>
      <c r="AQ408" s="2" t="s">
        <v>48</v>
      </c>
      <c r="AR408" s="2" t="s">
        <v>890</v>
      </c>
      <c r="AS408" s="2" t="s">
        <v>1348</v>
      </c>
      <c r="AT408" s="2" t="s">
        <v>1349</v>
      </c>
      <c r="AU408" s="2" t="s">
        <v>1358</v>
      </c>
      <c r="AV408" s="2" t="s">
        <v>1137</v>
      </c>
      <c r="AW408" s="2">
        <v>4.3819157826000001</v>
      </c>
      <c r="AX408" s="2">
        <v>50.853549277100001</v>
      </c>
    </row>
    <row r="409" spans="2:50" x14ac:dyDescent="0.25">
      <c r="B409" s="2">
        <v>294</v>
      </c>
      <c r="C409" s="2">
        <v>2142735</v>
      </c>
      <c r="D409" s="2" t="s">
        <v>517</v>
      </c>
      <c r="E409" s="2">
        <v>0</v>
      </c>
      <c r="F409" s="2">
        <v>0</v>
      </c>
      <c r="G409" s="2">
        <v>0</v>
      </c>
      <c r="H409" s="2">
        <v>0</v>
      </c>
      <c r="I409" s="2">
        <v>0</v>
      </c>
      <c r="J409" s="2">
        <v>10</v>
      </c>
      <c r="K409" s="2">
        <v>0</v>
      </c>
      <c r="L409" s="2">
        <v>0</v>
      </c>
      <c r="M409" s="2">
        <v>0</v>
      </c>
      <c r="N409" s="2">
        <v>0</v>
      </c>
      <c r="O409" s="2">
        <v>0</v>
      </c>
      <c r="P409" s="2">
        <v>0</v>
      </c>
      <c r="Q409" s="2">
        <f>SUM(parking_data_1030[[#This Row],[Résidenti]:[Autres]])</f>
        <v>10</v>
      </c>
      <c r="R409" s="2">
        <v>0</v>
      </c>
      <c r="S409" s="2">
        <v>0</v>
      </c>
      <c r="T409" s="2" t="s">
        <v>43</v>
      </c>
      <c r="U409" s="2" t="s">
        <v>44</v>
      </c>
      <c r="V409" s="2" t="s">
        <v>45</v>
      </c>
      <c r="W409" s="2">
        <v>1</v>
      </c>
      <c r="X409" s="2">
        <v>0</v>
      </c>
      <c r="Y409" s="2">
        <v>0</v>
      </c>
      <c r="Z409" s="2">
        <v>1</v>
      </c>
      <c r="AA409" s="2">
        <v>0</v>
      </c>
      <c r="AB409" s="2"/>
      <c r="AC409" s="2">
        <v>0</v>
      </c>
      <c r="AD409" s="2"/>
      <c r="AE409" s="2" t="s">
        <v>106</v>
      </c>
      <c r="AF409" s="2">
        <v>0</v>
      </c>
      <c r="AG409" s="2">
        <v>0</v>
      </c>
      <c r="AH409" s="2" t="s">
        <v>359</v>
      </c>
      <c r="AI409" s="2" t="s">
        <v>43</v>
      </c>
      <c r="AJ409" s="2">
        <v>0</v>
      </c>
      <c r="AK409" s="2">
        <v>10</v>
      </c>
      <c r="AL409" s="2"/>
      <c r="AM409" s="2">
        <v>0</v>
      </c>
      <c r="AN409" s="2">
        <v>0</v>
      </c>
      <c r="AO409" s="2"/>
      <c r="AP409" s="2"/>
      <c r="AQ409" s="2" t="s">
        <v>48</v>
      </c>
      <c r="AR409" s="2" t="s">
        <v>1026</v>
      </c>
      <c r="AS409" s="2" t="s">
        <v>1348</v>
      </c>
      <c r="AT409" s="2" t="s">
        <v>1349</v>
      </c>
      <c r="AU409" s="2" t="s">
        <v>1358</v>
      </c>
      <c r="AV409" s="2" t="s">
        <v>1137</v>
      </c>
      <c r="AW409" s="2">
        <v>4.3812461090000001</v>
      </c>
      <c r="AX409" s="2">
        <v>50.853318806200001</v>
      </c>
    </row>
    <row r="410" spans="2:50" x14ac:dyDescent="0.25">
      <c r="B410" s="2">
        <v>295</v>
      </c>
      <c r="C410" s="2">
        <v>2142630</v>
      </c>
      <c r="D410" s="2" t="s">
        <v>518</v>
      </c>
      <c r="E410" s="2">
        <v>14</v>
      </c>
      <c r="F410" s="2">
        <v>0</v>
      </c>
      <c r="G410" s="2">
        <v>0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  <c r="Q410" s="2">
        <f>SUM(parking_data_1030[[#This Row],[Résidenti]:[Autres]])</f>
        <v>14</v>
      </c>
      <c r="R410" s="2">
        <v>0</v>
      </c>
      <c r="S410" s="2">
        <v>0</v>
      </c>
      <c r="T410" s="2" t="s">
        <v>43</v>
      </c>
      <c r="U410" s="2" t="s">
        <v>58</v>
      </c>
      <c r="V410" s="2" t="s">
        <v>45</v>
      </c>
      <c r="W410" s="2">
        <v>1</v>
      </c>
      <c r="X410" s="2">
        <v>1</v>
      </c>
      <c r="Y410" s="2">
        <v>0</v>
      </c>
      <c r="Z410" s="2">
        <v>0</v>
      </c>
      <c r="AA410" s="2">
        <v>0</v>
      </c>
      <c r="AB410" s="2" t="s">
        <v>60</v>
      </c>
      <c r="AC410" s="2">
        <v>0</v>
      </c>
      <c r="AD410" s="2"/>
      <c r="AE410" s="2" t="s">
        <v>106</v>
      </c>
      <c r="AF410" s="2">
        <v>0</v>
      </c>
      <c r="AG410" s="2">
        <v>0</v>
      </c>
      <c r="AH410" s="2" t="s">
        <v>519</v>
      </c>
      <c r="AI410" s="2" t="s">
        <v>43</v>
      </c>
      <c r="AJ410" s="2">
        <v>0</v>
      </c>
      <c r="AK410" s="2">
        <v>0</v>
      </c>
      <c r="AL410" s="2"/>
      <c r="AM410" s="2">
        <v>0</v>
      </c>
      <c r="AN410" s="2">
        <v>0</v>
      </c>
      <c r="AO410" s="2"/>
      <c r="AP410" s="2"/>
      <c r="AQ410" s="2" t="s">
        <v>48</v>
      </c>
      <c r="AR410" s="2" t="s">
        <v>1335</v>
      </c>
      <c r="AS410" s="2" t="s">
        <v>1304</v>
      </c>
      <c r="AT410" s="2" t="s">
        <v>1305</v>
      </c>
      <c r="AU410" s="2" t="s">
        <v>1359</v>
      </c>
      <c r="AV410" s="2" t="s">
        <v>1137</v>
      </c>
      <c r="AW410" s="2">
        <v>4.3798243425000001</v>
      </c>
      <c r="AX410" s="2">
        <v>50.854415397700002</v>
      </c>
    </row>
    <row r="411" spans="2:50" x14ac:dyDescent="0.25">
      <c r="B411" s="2">
        <v>296</v>
      </c>
      <c r="C411" s="2">
        <v>2142645</v>
      </c>
      <c r="D411" s="2" t="s">
        <v>498</v>
      </c>
      <c r="E411" s="2">
        <v>17</v>
      </c>
      <c r="F411" s="2">
        <v>0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f>SUM(parking_data_1030[[#This Row],[Résidenti]:[Autres]])</f>
        <v>17</v>
      </c>
      <c r="R411" s="2">
        <v>0</v>
      </c>
      <c r="S411" s="2">
        <v>0</v>
      </c>
      <c r="T411" s="2" t="s">
        <v>43</v>
      </c>
      <c r="U411" s="2" t="s">
        <v>54</v>
      </c>
      <c r="V411" s="2" t="s">
        <v>45</v>
      </c>
      <c r="W411" s="2">
        <v>1</v>
      </c>
      <c r="X411" s="2">
        <v>1</v>
      </c>
      <c r="Y411" s="2">
        <v>0</v>
      </c>
      <c r="Z411" s="2">
        <v>0</v>
      </c>
      <c r="AA411" s="2">
        <v>0</v>
      </c>
      <c r="AB411" s="2"/>
      <c r="AC411" s="2">
        <v>0</v>
      </c>
      <c r="AD411" s="2"/>
      <c r="AE411" s="2" t="s">
        <v>106</v>
      </c>
      <c r="AF411" s="2">
        <v>0</v>
      </c>
      <c r="AG411" s="2">
        <v>0</v>
      </c>
      <c r="AH411" s="2"/>
      <c r="AI411" s="2" t="s">
        <v>43</v>
      </c>
      <c r="AJ411" s="2">
        <v>0</v>
      </c>
      <c r="AK411" s="2">
        <v>0</v>
      </c>
      <c r="AL411" s="2"/>
      <c r="AM411" s="2">
        <v>0</v>
      </c>
      <c r="AN411" s="2">
        <v>0</v>
      </c>
      <c r="AO411" s="2"/>
      <c r="AP411" s="2"/>
      <c r="AQ411" s="2" t="s">
        <v>48</v>
      </c>
      <c r="AR411" s="2" t="s">
        <v>870</v>
      </c>
      <c r="AS411" s="2" t="s">
        <v>1304</v>
      </c>
      <c r="AT411" s="2" t="s">
        <v>1305</v>
      </c>
      <c r="AU411" s="2" t="s">
        <v>1359</v>
      </c>
      <c r="AV411" s="2" t="s">
        <v>1137</v>
      </c>
      <c r="AW411" s="2">
        <v>4.3789001280999997</v>
      </c>
      <c r="AX411" s="2">
        <v>50.854995587300003</v>
      </c>
    </row>
    <row r="412" spans="2:50" x14ac:dyDescent="0.25">
      <c r="B412" s="2">
        <v>301</v>
      </c>
      <c r="C412" s="2">
        <v>2132841</v>
      </c>
      <c r="D412" s="2" t="s">
        <v>504</v>
      </c>
      <c r="E412" s="2">
        <v>0</v>
      </c>
      <c r="F412" s="2">
        <v>0</v>
      </c>
      <c r="G412" s="2">
        <v>0</v>
      </c>
      <c r="H412" s="2">
        <v>12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f>SUM(parking_data_1030[[#This Row],[Résidenti]:[Autres]])</f>
        <v>12</v>
      </c>
      <c r="R412" s="2">
        <v>0</v>
      </c>
      <c r="S412" s="2">
        <v>0</v>
      </c>
      <c r="T412" s="2" t="s">
        <v>43</v>
      </c>
      <c r="U412" s="2" t="s">
        <v>64</v>
      </c>
      <c r="V412" s="2" t="s">
        <v>59</v>
      </c>
      <c r="W412" s="2">
        <v>1</v>
      </c>
      <c r="X412" s="2">
        <v>0</v>
      </c>
      <c r="Y412" s="2">
        <v>0</v>
      </c>
      <c r="Z412" s="2">
        <v>0</v>
      </c>
      <c r="AA412" s="2">
        <v>0</v>
      </c>
      <c r="AB412" s="2"/>
      <c r="AC412" s="2">
        <v>0</v>
      </c>
      <c r="AD412" s="3">
        <v>47110</v>
      </c>
      <c r="AE412" s="2" t="s">
        <v>106</v>
      </c>
      <c r="AF412" s="2">
        <v>800</v>
      </c>
      <c r="AG412" s="2">
        <v>14</v>
      </c>
      <c r="AH412" s="2" t="s">
        <v>505</v>
      </c>
      <c r="AI412" s="2" t="s">
        <v>43</v>
      </c>
      <c r="AJ412" s="2">
        <v>2</v>
      </c>
      <c r="AK412" s="2">
        <v>12</v>
      </c>
      <c r="AL412" s="2"/>
      <c r="AM412" s="2">
        <v>0</v>
      </c>
      <c r="AN412" s="2">
        <v>0</v>
      </c>
      <c r="AO412" s="2"/>
      <c r="AP412" s="2"/>
      <c r="AQ412" s="2" t="s">
        <v>48</v>
      </c>
      <c r="AR412" s="2" t="s">
        <v>865</v>
      </c>
      <c r="AS412" s="2" t="s">
        <v>1304</v>
      </c>
      <c r="AT412" s="2" t="s">
        <v>1305</v>
      </c>
      <c r="AU412" s="2" t="s">
        <v>1306</v>
      </c>
      <c r="AV412" s="2" t="s">
        <v>1137</v>
      </c>
      <c r="AW412" s="2">
        <v>4.3795539944000001</v>
      </c>
      <c r="AX412" s="2">
        <v>50.855403095900002</v>
      </c>
    </row>
    <row r="413" spans="2:50" x14ac:dyDescent="0.25">
      <c r="B413" s="2">
        <v>311</v>
      </c>
      <c r="C413" s="2">
        <v>2133648</v>
      </c>
      <c r="D413" s="2" t="s">
        <v>496</v>
      </c>
      <c r="E413" s="2">
        <v>0</v>
      </c>
      <c r="F413" s="2">
        <v>0</v>
      </c>
      <c r="G413" s="2">
        <v>0</v>
      </c>
      <c r="H413" s="2">
        <v>0</v>
      </c>
      <c r="I413" s="2">
        <v>18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f>SUM(parking_data_1030[[#This Row],[Résidenti]:[Autres]])</f>
        <v>18</v>
      </c>
      <c r="R413" s="2">
        <v>0</v>
      </c>
      <c r="S413" s="2">
        <v>0</v>
      </c>
      <c r="T413" s="2" t="s">
        <v>43</v>
      </c>
      <c r="U413" s="2" t="s">
        <v>64</v>
      </c>
      <c r="V413" s="2" t="s">
        <v>45</v>
      </c>
      <c r="W413" s="2">
        <v>1</v>
      </c>
      <c r="X413" s="2">
        <v>1</v>
      </c>
      <c r="Y413" s="2">
        <v>1</v>
      </c>
      <c r="Z413" s="2">
        <v>0</v>
      </c>
      <c r="AA413" s="2">
        <v>0</v>
      </c>
      <c r="AB413" s="2"/>
      <c r="AC413" s="2">
        <v>0</v>
      </c>
      <c r="AD413" s="2"/>
      <c r="AE413" s="2" t="s">
        <v>46</v>
      </c>
      <c r="AF413" s="2">
        <v>0</v>
      </c>
      <c r="AG413" s="2">
        <v>0</v>
      </c>
      <c r="AH413" s="2" t="s">
        <v>497</v>
      </c>
      <c r="AI413" s="2" t="s">
        <v>43</v>
      </c>
      <c r="AJ413" s="2">
        <v>0</v>
      </c>
      <c r="AK413" s="2">
        <v>18</v>
      </c>
      <c r="AL413" s="2"/>
      <c r="AM413" s="2">
        <v>0</v>
      </c>
      <c r="AN413" s="2">
        <v>0</v>
      </c>
      <c r="AO413" s="2"/>
      <c r="AP413" s="2"/>
      <c r="AQ413" s="2" t="s">
        <v>48</v>
      </c>
      <c r="AR413" s="2" t="s">
        <v>1226</v>
      </c>
      <c r="AS413" s="2" t="s">
        <v>1386</v>
      </c>
      <c r="AT413" s="2" t="s">
        <v>1387</v>
      </c>
      <c r="AU413" s="2" t="s">
        <v>1388</v>
      </c>
      <c r="AV413" s="2" t="s">
        <v>1137</v>
      </c>
      <c r="AW413" s="2">
        <v>4.3912100521999999</v>
      </c>
      <c r="AX413" s="2">
        <v>50.856896011400003</v>
      </c>
    </row>
    <row r="414" spans="2:50" x14ac:dyDescent="0.25">
      <c r="B414" s="2">
        <v>22</v>
      </c>
      <c r="C414" s="2">
        <v>2180841</v>
      </c>
      <c r="D414" s="2" t="s">
        <v>42</v>
      </c>
      <c r="E414" s="2">
        <v>0</v>
      </c>
      <c r="F414" s="2">
        <v>0</v>
      </c>
      <c r="G414" s="2">
        <v>0</v>
      </c>
      <c r="H414" s="2">
        <v>0</v>
      </c>
      <c r="I414" s="2">
        <v>11</v>
      </c>
      <c r="J414" s="2">
        <v>10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f>SUM(parking_data_1030[[#This Row],[Résidenti]:[Autres]])</f>
        <v>21</v>
      </c>
      <c r="R414" s="2">
        <v>0</v>
      </c>
      <c r="S414" s="2">
        <v>0</v>
      </c>
      <c r="T414" s="2" t="s">
        <v>43</v>
      </c>
      <c r="U414" s="2" t="s">
        <v>44</v>
      </c>
      <c r="V414" s="2" t="s">
        <v>45</v>
      </c>
      <c r="W414" s="2">
        <v>1</v>
      </c>
      <c r="X414" s="2">
        <v>1</v>
      </c>
      <c r="Y414" s="2">
        <v>0</v>
      </c>
      <c r="Z414" s="2">
        <v>0</v>
      </c>
      <c r="AA414" s="2">
        <v>0</v>
      </c>
      <c r="AB414" s="2"/>
      <c r="AC414" s="2">
        <v>0</v>
      </c>
      <c r="AD414" s="2"/>
      <c r="AE414" s="2" t="s">
        <v>46</v>
      </c>
      <c r="AF414" s="2">
        <v>0</v>
      </c>
      <c r="AG414" s="2">
        <v>0</v>
      </c>
      <c r="AH414" s="2" t="s">
        <v>47</v>
      </c>
      <c r="AI414" s="2" t="s">
        <v>43</v>
      </c>
      <c r="AJ414" s="2">
        <v>0</v>
      </c>
      <c r="AK414" s="2">
        <v>21</v>
      </c>
      <c r="AL414" s="2"/>
      <c r="AM414" s="2">
        <v>0</v>
      </c>
      <c r="AN414" s="2">
        <v>0</v>
      </c>
      <c r="AO414" s="2"/>
      <c r="AP414" s="2"/>
      <c r="AQ414" s="2" t="s">
        <v>48</v>
      </c>
      <c r="AR414" s="2" t="s">
        <v>890</v>
      </c>
      <c r="AS414" s="2" t="s">
        <v>891</v>
      </c>
      <c r="AT414" s="2" t="s">
        <v>892</v>
      </c>
      <c r="AU414" s="2" t="s">
        <v>889</v>
      </c>
      <c r="AV414" s="2" t="s">
        <v>835</v>
      </c>
      <c r="AW414" s="2">
        <v>4.3885282670999999</v>
      </c>
      <c r="AX414" s="2">
        <v>50.877164666200002</v>
      </c>
    </row>
    <row r="415" spans="2:50" x14ac:dyDescent="0.25">
      <c r="B415" s="2">
        <v>406</v>
      </c>
      <c r="C415" s="2">
        <v>2171121</v>
      </c>
      <c r="D415" s="2" t="s">
        <v>592</v>
      </c>
      <c r="E415" s="2">
        <v>23</v>
      </c>
      <c r="F415" s="2">
        <v>0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f>SUM(parking_data_1030[[#This Row],[Résidenti]:[Autres]])</f>
        <v>23</v>
      </c>
      <c r="R415" s="2">
        <v>0</v>
      </c>
      <c r="S415" s="2">
        <v>0</v>
      </c>
      <c r="T415" s="2" t="s">
        <v>43</v>
      </c>
      <c r="U415" s="2" t="s">
        <v>44</v>
      </c>
      <c r="V415" s="2" t="s">
        <v>45</v>
      </c>
      <c r="W415" s="2">
        <v>1</v>
      </c>
      <c r="X415" s="2">
        <v>1</v>
      </c>
      <c r="Y415" s="2">
        <v>0</v>
      </c>
      <c r="Z415" s="2">
        <v>0</v>
      </c>
      <c r="AA415" s="2">
        <v>0</v>
      </c>
      <c r="AB415" s="2"/>
      <c r="AC415" s="2">
        <v>0</v>
      </c>
      <c r="AD415" s="2"/>
      <c r="AE415" s="2" t="s">
        <v>46</v>
      </c>
      <c r="AF415" s="2">
        <v>0</v>
      </c>
      <c r="AG415" s="2">
        <v>0</v>
      </c>
      <c r="AH415" s="2"/>
      <c r="AI415" s="2" t="s">
        <v>43</v>
      </c>
      <c r="AJ415" s="2">
        <v>0</v>
      </c>
      <c r="AK415" s="2">
        <v>0</v>
      </c>
      <c r="AL415" s="2"/>
      <c r="AM415" s="2">
        <v>0</v>
      </c>
      <c r="AN415" s="2">
        <v>0</v>
      </c>
      <c r="AO415" s="2"/>
      <c r="AP415" s="2"/>
      <c r="AQ415" s="2" t="s">
        <v>48</v>
      </c>
      <c r="AR415" s="2" t="s">
        <v>990</v>
      </c>
      <c r="AS415" s="2" t="s">
        <v>1527</v>
      </c>
      <c r="AT415" s="2" t="s">
        <v>1528</v>
      </c>
      <c r="AU415" s="2" t="s">
        <v>1529</v>
      </c>
      <c r="AV415" s="2" t="s">
        <v>1170</v>
      </c>
      <c r="AW415" s="2">
        <v>4.3733688930000003</v>
      </c>
      <c r="AX415" s="2">
        <v>50.870587795299997</v>
      </c>
    </row>
    <row r="416" spans="2:50" x14ac:dyDescent="0.25">
      <c r="B416" s="2">
        <v>407</v>
      </c>
      <c r="C416" s="2">
        <v>2171167</v>
      </c>
      <c r="D416" s="2" t="s">
        <v>800</v>
      </c>
      <c r="E416" s="2">
        <v>0</v>
      </c>
      <c r="F416" s="2">
        <v>0</v>
      </c>
      <c r="G416" s="2">
        <v>0</v>
      </c>
      <c r="H416" s="2">
        <v>0</v>
      </c>
      <c r="I416" s="2">
        <v>0</v>
      </c>
      <c r="J416" s="2">
        <v>0</v>
      </c>
      <c r="K416" s="2">
        <v>46</v>
      </c>
      <c r="L416" s="2">
        <v>0</v>
      </c>
      <c r="M416" s="2">
        <v>0</v>
      </c>
      <c r="N416" s="2">
        <v>0</v>
      </c>
      <c r="O416" s="2">
        <v>0</v>
      </c>
      <c r="P416" s="2">
        <v>0</v>
      </c>
      <c r="Q416" s="2">
        <f>SUM(parking_data_1030[[#This Row],[Résidenti]:[Autres]])</f>
        <v>46</v>
      </c>
      <c r="R416" s="2">
        <v>35</v>
      </c>
      <c r="S416" s="2">
        <v>35</v>
      </c>
      <c r="T416" s="2" t="s">
        <v>43</v>
      </c>
      <c r="U416" s="2" t="s">
        <v>76</v>
      </c>
      <c r="V416" s="2" t="s">
        <v>59</v>
      </c>
      <c r="W416" s="2">
        <v>1</v>
      </c>
      <c r="X416" s="2">
        <v>0</v>
      </c>
      <c r="Y416" s="2">
        <v>0</v>
      </c>
      <c r="Z416" s="2">
        <v>0</v>
      </c>
      <c r="AA416" s="2">
        <v>1</v>
      </c>
      <c r="AB416" s="2"/>
      <c r="AC416" s="2">
        <v>83</v>
      </c>
      <c r="AD416" s="2"/>
      <c r="AE416" s="2" t="s">
        <v>46</v>
      </c>
      <c r="AF416" s="2">
        <v>0</v>
      </c>
      <c r="AG416" s="2">
        <v>0</v>
      </c>
      <c r="AH416" s="2" t="s">
        <v>801</v>
      </c>
      <c r="AI416" s="2" t="s">
        <v>43</v>
      </c>
      <c r="AJ416" s="2">
        <v>0</v>
      </c>
      <c r="AK416" s="2">
        <v>46</v>
      </c>
      <c r="AL416" s="2"/>
      <c r="AM416" s="2">
        <v>0</v>
      </c>
      <c r="AN416" s="2">
        <v>0</v>
      </c>
      <c r="AO416" s="2"/>
      <c r="AP416" s="2"/>
      <c r="AQ416" s="2" t="s">
        <v>48</v>
      </c>
      <c r="AR416" s="2" t="s">
        <v>977</v>
      </c>
      <c r="AS416" s="2" t="s">
        <v>1527</v>
      </c>
      <c r="AT416" s="2" t="s">
        <v>1528</v>
      </c>
      <c r="AU416" s="2" t="s">
        <v>1529</v>
      </c>
      <c r="AV416" s="2" t="s">
        <v>1170</v>
      </c>
      <c r="AW416" s="2">
        <v>4.3737420784000003</v>
      </c>
      <c r="AX416" s="2">
        <v>50.870732105499997</v>
      </c>
    </row>
    <row r="417" spans="2:50" x14ac:dyDescent="0.25">
      <c r="B417" s="2">
        <v>383</v>
      </c>
      <c r="C417" s="2">
        <v>2169449</v>
      </c>
      <c r="D417" s="2" t="s">
        <v>375</v>
      </c>
      <c r="E417" s="2">
        <v>0</v>
      </c>
      <c r="F417" s="2">
        <v>0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81</v>
      </c>
      <c r="P417" s="2">
        <v>0</v>
      </c>
      <c r="Q417" s="2">
        <f>SUM(parking_data_1030[[#This Row],[Résidenti]:[Autres]])</f>
        <v>81</v>
      </c>
      <c r="R417" s="2">
        <v>81</v>
      </c>
      <c r="S417" s="2">
        <v>0</v>
      </c>
      <c r="T417" s="2" t="s">
        <v>43</v>
      </c>
      <c r="U417" s="2" t="s">
        <v>54</v>
      </c>
      <c r="V417" s="2" t="s">
        <v>45</v>
      </c>
      <c r="W417" s="2">
        <v>1</v>
      </c>
      <c r="X417" s="2">
        <v>1</v>
      </c>
      <c r="Y417" s="2">
        <v>0</v>
      </c>
      <c r="Z417" s="2">
        <v>0</v>
      </c>
      <c r="AA417" s="2">
        <v>0</v>
      </c>
      <c r="AB417" s="2"/>
      <c r="AC417" s="2">
        <v>0</v>
      </c>
      <c r="AD417" s="2"/>
      <c r="AE417" s="2" t="s">
        <v>46</v>
      </c>
      <c r="AF417" s="2">
        <v>0</v>
      </c>
      <c r="AG417" s="2">
        <v>0</v>
      </c>
      <c r="AH417" s="2"/>
      <c r="AI417" s="2" t="s">
        <v>43</v>
      </c>
      <c r="AJ417" s="2">
        <v>0</v>
      </c>
      <c r="AK417" s="2">
        <v>81</v>
      </c>
      <c r="AL417" s="2" t="s">
        <v>366</v>
      </c>
      <c r="AM417" s="2">
        <v>0</v>
      </c>
      <c r="AN417" s="2">
        <v>0</v>
      </c>
      <c r="AO417" s="2"/>
      <c r="AP417" s="2"/>
      <c r="AQ417" s="2" t="s">
        <v>48</v>
      </c>
      <c r="AR417" s="2" t="s">
        <v>1493</v>
      </c>
      <c r="AS417" s="2" t="s">
        <v>1494</v>
      </c>
      <c r="AT417" s="2" t="s">
        <v>1495</v>
      </c>
      <c r="AU417" s="2" t="s">
        <v>1490</v>
      </c>
      <c r="AV417" s="2" t="s">
        <v>1170</v>
      </c>
      <c r="AW417" s="2">
        <v>4.3681204945000003</v>
      </c>
      <c r="AX417" s="2">
        <v>50.868014995199999</v>
      </c>
    </row>
    <row r="418" spans="2:50" x14ac:dyDescent="0.25">
      <c r="B418" s="2">
        <v>329</v>
      </c>
      <c r="C418" s="2">
        <v>3001452</v>
      </c>
      <c r="D418" s="2" t="s">
        <v>350</v>
      </c>
      <c r="E418" s="2">
        <v>17</v>
      </c>
      <c r="F418" s="2">
        <v>0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f>SUM(parking_data_1030[[#This Row],[Résidenti]:[Autres]])</f>
        <v>17</v>
      </c>
      <c r="R418" s="2">
        <v>0</v>
      </c>
      <c r="S418" s="2">
        <v>0</v>
      </c>
      <c r="T418" s="2" t="s">
        <v>43</v>
      </c>
      <c r="U418" s="2" t="s">
        <v>54</v>
      </c>
      <c r="V418" s="2" t="s">
        <v>45</v>
      </c>
      <c r="W418" s="2">
        <v>0</v>
      </c>
      <c r="X418" s="2">
        <v>1</v>
      </c>
      <c r="Y418" s="2">
        <v>0</v>
      </c>
      <c r="Z418" s="2">
        <v>1</v>
      </c>
      <c r="AA418" s="2">
        <v>0</v>
      </c>
      <c r="AB418" s="2"/>
      <c r="AC418" s="2">
        <v>0</v>
      </c>
      <c r="AD418" s="2"/>
      <c r="AE418" s="2" t="s">
        <v>106</v>
      </c>
      <c r="AF418" s="2">
        <v>0</v>
      </c>
      <c r="AG418" s="2">
        <v>0</v>
      </c>
      <c r="AH418" s="2" t="s">
        <v>55</v>
      </c>
      <c r="AI418" s="2" t="s">
        <v>43</v>
      </c>
      <c r="AJ418" s="2">
        <v>0</v>
      </c>
      <c r="AK418" s="2">
        <v>0</v>
      </c>
      <c r="AL418" s="2"/>
      <c r="AM418" s="2">
        <v>0</v>
      </c>
      <c r="AN418" s="2">
        <v>0</v>
      </c>
      <c r="AO418" s="2"/>
      <c r="AP418" s="2"/>
      <c r="AQ418" s="2" t="s">
        <v>48</v>
      </c>
      <c r="AR418" s="2" t="s">
        <v>1421</v>
      </c>
      <c r="AS418" s="2" t="s">
        <v>1422</v>
      </c>
      <c r="AT418" s="2" t="s">
        <v>1423</v>
      </c>
      <c r="AU418" s="2" t="s">
        <v>1419</v>
      </c>
      <c r="AV418" s="2" t="s">
        <v>1420</v>
      </c>
      <c r="AW418" s="2">
        <v>4.3763337764000001</v>
      </c>
      <c r="AX418" s="2">
        <v>50.8559309201</v>
      </c>
    </row>
    <row r="419" spans="2:50" x14ac:dyDescent="0.25">
      <c r="B419" s="2">
        <v>162</v>
      </c>
      <c r="C419" s="2">
        <v>1167643</v>
      </c>
      <c r="D419" s="2" t="s">
        <v>306</v>
      </c>
      <c r="E419" s="2">
        <v>33</v>
      </c>
      <c r="F419" s="2">
        <v>0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f>SUM(parking_data_1030[[#This Row],[Résidenti]:[Autres]])</f>
        <v>33</v>
      </c>
      <c r="R419" s="2">
        <v>0</v>
      </c>
      <c r="S419" s="2">
        <v>0</v>
      </c>
      <c r="T419" s="2" t="s">
        <v>43</v>
      </c>
      <c r="U419" s="2" t="s">
        <v>307</v>
      </c>
      <c r="V419" s="2" t="s">
        <v>45</v>
      </c>
      <c r="W419" s="2">
        <v>1</v>
      </c>
      <c r="X419" s="2">
        <v>1</v>
      </c>
      <c r="Y419" s="2">
        <v>0</v>
      </c>
      <c r="Z419" s="2">
        <v>0</v>
      </c>
      <c r="AA419" s="2">
        <v>0</v>
      </c>
      <c r="AB419" s="2"/>
      <c r="AC419" s="2">
        <v>0</v>
      </c>
      <c r="AD419" s="2"/>
      <c r="AE419" s="2" t="s">
        <v>46</v>
      </c>
      <c r="AF419" s="2">
        <v>0</v>
      </c>
      <c r="AG419" s="2">
        <v>0</v>
      </c>
      <c r="AH419" s="2" t="s">
        <v>308</v>
      </c>
      <c r="AI419" s="2" t="s">
        <v>43</v>
      </c>
      <c r="AJ419" s="2">
        <v>0</v>
      </c>
      <c r="AK419" s="2">
        <v>0</v>
      </c>
      <c r="AL419" s="2"/>
      <c r="AM419" s="2">
        <v>0</v>
      </c>
      <c r="AN419" s="2">
        <v>0</v>
      </c>
      <c r="AO419" s="2"/>
      <c r="AP419" s="2"/>
      <c r="AQ419" s="2" t="s">
        <v>48</v>
      </c>
      <c r="AR419" s="2" t="s">
        <v>1171</v>
      </c>
      <c r="AS419" s="2" t="s">
        <v>1172</v>
      </c>
      <c r="AT419" s="2" t="s">
        <v>1173</v>
      </c>
      <c r="AU419" s="2" t="s">
        <v>1089</v>
      </c>
      <c r="AV419" s="2" t="s">
        <v>1090</v>
      </c>
      <c r="AW419" s="2">
        <v>4.4025567722999996</v>
      </c>
      <c r="AX419" s="2">
        <v>50.845228257800002</v>
      </c>
    </row>
    <row r="420" spans="2:50" x14ac:dyDescent="0.25">
      <c r="B420" s="2">
        <v>163</v>
      </c>
      <c r="C420" s="2">
        <v>1167621</v>
      </c>
      <c r="D420" s="2" t="s">
        <v>309</v>
      </c>
      <c r="E420" s="2">
        <v>18</v>
      </c>
      <c r="F420" s="2">
        <v>0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f>SUM(parking_data_1030[[#This Row],[Résidenti]:[Autres]])</f>
        <v>18</v>
      </c>
      <c r="R420" s="2">
        <v>0</v>
      </c>
      <c r="S420" s="2">
        <v>0</v>
      </c>
      <c r="T420" s="2" t="s">
        <v>43</v>
      </c>
      <c r="U420" s="2" t="s">
        <v>76</v>
      </c>
      <c r="V420" s="2" t="s">
        <v>45</v>
      </c>
      <c r="W420" s="2">
        <v>1</v>
      </c>
      <c r="X420" s="2">
        <v>0</v>
      </c>
      <c r="Y420" s="2">
        <v>0</v>
      </c>
      <c r="Z420" s="2">
        <v>0</v>
      </c>
      <c r="AA420" s="2">
        <v>0</v>
      </c>
      <c r="AB420" s="2"/>
      <c r="AC420" s="2">
        <v>0</v>
      </c>
      <c r="AD420" s="2"/>
      <c r="AE420" s="2" t="s">
        <v>46</v>
      </c>
      <c r="AF420" s="2">
        <v>0</v>
      </c>
      <c r="AG420" s="2">
        <v>0</v>
      </c>
      <c r="AH420" s="2"/>
      <c r="AI420" s="2" t="s">
        <v>43</v>
      </c>
      <c r="AJ420" s="2">
        <v>0</v>
      </c>
      <c r="AK420" s="2">
        <v>0</v>
      </c>
      <c r="AL420" s="2"/>
      <c r="AM420" s="2">
        <v>0</v>
      </c>
      <c r="AN420" s="2">
        <v>0</v>
      </c>
      <c r="AO420" s="2"/>
      <c r="AP420" s="2"/>
      <c r="AQ420" s="2" t="s">
        <v>48</v>
      </c>
      <c r="AR420" s="2" t="s">
        <v>1174</v>
      </c>
      <c r="AS420" s="2" t="s">
        <v>1172</v>
      </c>
      <c r="AT420" s="2" t="s">
        <v>1173</v>
      </c>
      <c r="AU420" s="2" t="s">
        <v>1089</v>
      </c>
      <c r="AV420" s="2" t="s">
        <v>1090</v>
      </c>
      <c r="AW420" s="2">
        <v>4.4011304631000003</v>
      </c>
      <c r="AX420" s="2">
        <v>50.844426026699999</v>
      </c>
    </row>
    <row r="421" spans="2:50" x14ac:dyDescent="0.25">
      <c r="B421" s="2">
        <v>164</v>
      </c>
      <c r="C421" s="2">
        <v>1167627</v>
      </c>
      <c r="D421" s="2" t="s">
        <v>310</v>
      </c>
      <c r="E421" s="2">
        <v>14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f>SUM(parking_data_1030[[#This Row],[Résidenti]:[Autres]])</f>
        <v>14</v>
      </c>
      <c r="R421" s="2">
        <v>0</v>
      </c>
      <c r="S421" s="2">
        <v>0</v>
      </c>
      <c r="T421" s="2" t="s">
        <v>43</v>
      </c>
      <c r="U421" s="2" t="s">
        <v>54</v>
      </c>
      <c r="V421" s="2" t="s">
        <v>59</v>
      </c>
      <c r="W421" s="2">
        <v>1</v>
      </c>
      <c r="X421" s="2">
        <v>1</v>
      </c>
      <c r="Y421" s="2">
        <v>0</v>
      </c>
      <c r="Z421" s="2">
        <v>0</v>
      </c>
      <c r="AA421" s="2">
        <v>0</v>
      </c>
      <c r="AB421" s="2"/>
      <c r="AC421" s="2">
        <v>0</v>
      </c>
      <c r="AD421" s="2"/>
      <c r="AE421" s="2" t="s">
        <v>46</v>
      </c>
      <c r="AF421" s="2">
        <v>0</v>
      </c>
      <c r="AG421" s="2">
        <v>0</v>
      </c>
      <c r="AH421" s="2"/>
      <c r="AI421" s="2" t="s">
        <v>43</v>
      </c>
      <c r="AJ421" s="2">
        <v>0</v>
      </c>
      <c r="AK421" s="2">
        <v>0</v>
      </c>
      <c r="AL421" s="2"/>
      <c r="AM421" s="2">
        <v>0</v>
      </c>
      <c r="AN421" s="2">
        <v>0</v>
      </c>
      <c r="AO421" s="2"/>
      <c r="AP421" s="2"/>
      <c r="AQ421" s="2" t="s">
        <v>48</v>
      </c>
      <c r="AR421" s="2" t="s">
        <v>1023</v>
      </c>
      <c r="AS421" s="2" t="s">
        <v>1172</v>
      </c>
      <c r="AT421" s="2" t="s">
        <v>1173</v>
      </c>
      <c r="AU421" s="2" t="s">
        <v>1089</v>
      </c>
      <c r="AV421" s="2" t="s">
        <v>1090</v>
      </c>
      <c r="AW421" s="2">
        <v>4.4008341807000004</v>
      </c>
      <c r="AX421" s="2">
        <v>50.844311089500003</v>
      </c>
    </row>
    <row r="422" spans="2:50" x14ac:dyDescent="0.25">
      <c r="B422" s="2">
        <v>205</v>
      </c>
      <c r="C422" s="2">
        <v>2188083</v>
      </c>
      <c r="D422" s="2" t="s">
        <v>166</v>
      </c>
      <c r="E422" s="2">
        <v>28</v>
      </c>
      <c r="F422" s="2">
        <v>0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f>SUM(parking_data_1030[[#This Row],[Résidenti]:[Autres]])</f>
        <v>28</v>
      </c>
      <c r="R422" s="2">
        <v>0</v>
      </c>
      <c r="S422" s="2">
        <v>0</v>
      </c>
      <c r="T422" s="2" t="s">
        <v>43</v>
      </c>
      <c r="U422" s="2" t="s">
        <v>76</v>
      </c>
      <c r="V422" s="2" t="s">
        <v>45</v>
      </c>
      <c r="W422" s="2">
        <v>1</v>
      </c>
      <c r="X422" s="2">
        <v>1</v>
      </c>
      <c r="Y422" s="2">
        <v>0</v>
      </c>
      <c r="Z422" s="2">
        <v>0</v>
      </c>
      <c r="AA422" s="2">
        <v>0</v>
      </c>
      <c r="AB422" s="2"/>
      <c r="AC422" s="2">
        <v>0</v>
      </c>
      <c r="AD422" s="2"/>
      <c r="AE422" s="2" t="s">
        <v>106</v>
      </c>
      <c r="AF422" s="2">
        <v>0</v>
      </c>
      <c r="AG422" s="2">
        <v>0</v>
      </c>
      <c r="AH422" s="2"/>
      <c r="AI422" s="2" t="s">
        <v>43</v>
      </c>
      <c r="AJ422" s="2">
        <v>0</v>
      </c>
      <c r="AK422" s="2">
        <v>0</v>
      </c>
      <c r="AL422" s="2"/>
      <c r="AM422" s="2">
        <v>0</v>
      </c>
      <c r="AN422" s="2">
        <v>0</v>
      </c>
      <c r="AO422" s="2"/>
      <c r="AP422" s="2"/>
      <c r="AQ422" s="2" t="s">
        <v>48</v>
      </c>
      <c r="AR422" s="2" t="s">
        <v>997</v>
      </c>
      <c r="AS422" s="2" t="s">
        <v>1228</v>
      </c>
      <c r="AT422" s="2" t="s">
        <v>1229</v>
      </c>
      <c r="AU422" s="2" t="s">
        <v>1227</v>
      </c>
      <c r="AV422" s="2" t="s">
        <v>1142</v>
      </c>
      <c r="AW422" s="2">
        <v>4.3976262689999999</v>
      </c>
      <c r="AX422" s="2">
        <v>50.848419953499999</v>
      </c>
    </row>
    <row r="423" spans="2:50" x14ac:dyDescent="0.25">
      <c r="B423" s="2">
        <v>206</v>
      </c>
      <c r="C423" s="2">
        <v>2158981</v>
      </c>
      <c r="D423" s="2" t="s">
        <v>167</v>
      </c>
      <c r="E423" s="2">
        <v>10</v>
      </c>
      <c r="F423" s="2">
        <v>0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f>SUM(parking_data_1030[[#This Row],[Résidenti]:[Autres]])</f>
        <v>10</v>
      </c>
      <c r="R423" s="2">
        <v>0</v>
      </c>
      <c r="S423" s="2">
        <v>0</v>
      </c>
      <c r="T423" s="2" t="s">
        <v>43</v>
      </c>
      <c r="U423" s="2" t="s">
        <v>54</v>
      </c>
      <c r="V423" s="2" t="s">
        <v>45</v>
      </c>
      <c r="W423" s="2">
        <v>0</v>
      </c>
      <c r="X423" s="2">
        <v>1</v>
      </c>
      <c r="Y423" s="2">
        <v>0</v>
      </c>
      <c r="Z423" s="2">
        <v>1</v>
      </c>
      <c r="AA423" s="2">
        <v>0</v>
      </c>
      <c r="AB423" s="2"/>
      <c r="AC423" s="2">
        <v>0</v>
      </c>
      <c r="AD423" s="2"/>
      <c r="AE423" s="2" t="s">
        <v>106</v>
      </c>
      <c r="AF423" s="2">
        <v>0</v>
      </c>
      <c r="AG423" s="2">
        <v>0</v>
      </c>
      <c r="AH423" s="2" t="s">
        <v>168</v>
      </c>
      <c r="AI423" s="2" t="s">
        <v>43</v>
      </c>
      <c r="AJ423" s="2">
        <v>0</v>
      </c>
      <c r="AK423" s="2">
        <v>0</v>
      </c>
      <c r="AL423" s="2"/>
      <c r="AM423" s="2">
        <v>0</v>
      </c>
      <c r="AN423" s="2">
        <v>0</v>
      </c>
      <c r="AO423" s="2"/>
      <c r="AP423" s="2"/>
      <c r="AQ423" s="2" t="s">
        <v>48</v>
      </c>
      <c r="AR423" s="2" t="s">
        <v>1230</v>
      </c>
      <c r="AS423" s="2" t="s">
        <v>1228</v>
      </c>
      <c r="AT423" s="2" t="s">
        <v>1229</v>
      </c>
      <c r="AU423" s="2" t="s">
        <v>1231</v>
      </c>
      <c r="AV423" s="2" t="s">
        <v>1142</v>
      </c>
      <c r="AW423" s="2">
        <v>4.3961945594999996</v>
      </c>
      <c r="AX423" s="2">
        <v>50.8490718806</v>
      </c>
    </row>
    <row r="424" spans="2:50" x14ac:dyDescent="0.25">
      <c r="B424" s="2">
        <v>210</v>
      </c>
      <c r="C424" s="2">
        <v>2158944</v>
      </c>
      <c r="D424" s="2" t="s">
        <v>154</v>
      </c>
      <c r="E424" s="2">
        <v>44</v>
      </c>
      <c r="F424" s="2">
        <v>0</v>
      </c>
      <c r="G424" s="2">
        <v>0</v>
      </c>
      <c r="H424" s="2">
        <v>0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 s="2">
        <v>0</v>
      </c>
      <c r="O424" s="2">
        <v>0</v>
      </c>
      <c r="P424" s="2">
        <v>0</v>
      </c>
      <c r="Q424" s="2">
        <f>SUM(parking_data_1030[[#This Row],[Résidenti]:[Autres]])</f>
        <v>44</v>
      </c>
      <c r="R424" s="2">
        <v>0</v>
      </c>
      <c r="S424" s="2">
        <v>0</v>
      </c>
      <c r="T424" s="2" t="s">
        <v>43</v>
      </c>
      <c r="U424" s="2" t="s">
        <v>44</v>
      </c>
      <c r="V424" s="2" t="s">
        <v>45</v>
      </c>
      <c r="W424" s="2">
        <v>1</v>
      </c>
      <c r="X424" s="2">
        <v>1</v>
      </c>
      <c r="Y424" s="2">
        <v>0</v>
      </c>
      <c r="Z424" s="2">
        <v>0</v>
      </c>
      <c r="AA424" s="2">
        <v>0</v>
      </c>
      <c r="AB424" s="2"/>
      <c r="AC424" s="2">
        <v>0</v>
      </c>
      <c r="AD424" s="2"/>
      <c r="AE424" s="2" t="s">
        <v>106</v>
      </c>
      <c r="AF424" s="2">
        <v>0</v>
      </c>
      <c r="AG424" s="2">
        <v>0</v>
      </c>
      <c r="AH424" s="2"/>
      <c r="AI424" s="2" t="s">
        <v>43</v>
      </c>
      <c r="AJ424" s="2">
        <v>0</v>
      </c>
      <c r="AK424" s="2">
        <v>0</v>
      </c>
      <c r="AL424" s="2"/>
      <c r="AM424" s="2">
        <v>0</v>
      </c>
      <c r="AN424" s="2">
        <v>0</v>
      </c>
      <c r="AO424" s="2"/>
      <c r="AP424" s="2"/>
      <c r="AQ424" s="2" t="s">
        <v>48</v>
      </c>
      <c r="AR424" s="2" t="s">
        <v>1234</v>
      </c>
      <c r="AS424" s="2" t="s">
        <v>1228</v>
      </c>
      <c r="AT424" s="2" t="s">
        <v>1229</v>
      </c>
      <c r="AU424" s="2" t="s">
        <v>1235</v>
      </c>
      <c r="AV424" s="2" t="s">
        <v>1142</v>
      </c>
      <c r="AW424" s="2">
        <v>4.3968870972999996</v>
      </c>
      <c r="AX424" s="2">
        <v>50.849228927699997</v>
      </c>
    </row>
    <row r="425" spans="2:50" x14ac:dyDescent="0.25">
      <c r="B425" s="2">
        <v>174</v>
      </c>
      <c r="C425" s="2">
        <v>1166245</v>
      </c>
      <c r="D425" s="2" t="s">
        <v>300</v>
      </c>
      <c r="E425" s="2">
        <v>21</v>
      </c>
      <c r="F425" s="2">
        <v>0</v>
      </c>
      <c r="G425" s="2">
        <v>0</v>
      </c>
      <c r="H425" s="2">
        <v>0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 s="2">
        <v>0</v>
      </c>
      <c r="O425" s="2">
        <v>0</v>
      </c>
      <c r="P425" s="2">
        <v>0</v>
      </c>
      <c r="Q425" s="2">
        <f>SUM(parking_data_1030[[#This Row],[Résidenti]:[Autres]])</f>
        <v>21</v>
      </c>
      <c r="R425" s="2">
        <v>0</v>
      </c>
      <c r="S425" s="2">
        <v>0</v>
      </c>
      <c r="T425" s="2" t="s">
        <v>43</v>
      </c>
      <c r="U425" s="2" t="s">
        <v>44</v>
      </c>
      <c r="V425" s="2" t="s">
        <v>45</v>
      </c>
      <c r="W425" s="2">
        <v>1</v>
      </c>
      <c r="X425" s="2">
        <v>1</v>
      </c>
      <c r="Y425" s="2">
        <v>0</v>
      </c>
      <c r="Z425" s="2">
        <v>0</v>
      </c>
      <c r="AA425" s="2">
        <v>0</v>
      </c>
      <c r="AB425" s="2" t="s">
        <v>60</v>
      </c>
      <c r="AC425" s="2">
        <v>0</v>
      </c>
      <c r="AD425" s="2"/>
      <c r="AE425" s="2" t="s">
        <v>46</v>
      </c>
      <c r="AF425" s="2">
        <v>0</v>
      </c>
      <c r="AG425" s="2">
        <v>0</v>
      </c>
      <c r="AH425" s="2" t="s">
        <v>301</v>
      </c>
      <c r="AI425" s="2" t="s">
        <v>43</v>
      </c>
      <c r="AJ425" s="2">
        <v>0</v>
      </c>
      <c r="AK425" s="2">
        <v>0</v>
      </c>
      <c r="AL425" s="2"/>
      <c r="AM425" s="2">
        <v>0</v>
      </c>
      <c r="AN425" s="2">
        <v>0</v>
      </c>
      <c r="AO425" s="2"/>
      <c r="AP425" s="2"/>
      <c r="AQ425" s="2" t="s">
        <v>48</v>
      </c>
      <c r="AR425" s="2" t="s">
        <v>1185</v>
      </c>
      <c r="AS425" s="2" t="s">
        <v>1186</v>
      </c>
      <c r="AT425" s="2" t="s">
        <v>1187</v>
      </c>
      <c r="AU425" s="2" t="s">
        <v>1152</v>
      </c>
      <c r="AV425" s="2" t="s">
        <v>1090</v>
      </c>
      <c r="AW425" s="2">
        <v>4.3968455572999998</v>
      </c>
      <c r="AX425" s="2">
        <v>50.844680325399999</v>
      </c>
    </row>
    <row r="426" spans="2:50" x14ac:dyDescent="0.25">
      <c r="B426" s="2">
        <v>237</v>
      </c>
      <c r="C426" s="2">
        <v>2158421</v>
      </c>
      <c r="D426" s="2" t="s">
        <v>209</v>
      </c>
      <c r="E426" s="2">
        <v>12</v>
      </c>
      <c r="F426" s="2">
        <v>0</v>
      </c>
      <c r="G426" s="2">
        <v>0</v>
      </c>
      <c r="H426" s="2">
        <v>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 s="2">
        <v>0</v>
      </c>
      <c r="O426" s="2">
        <v>0</v>
      </c>
      <c r="P426" s="2">
        <v>0</v>
      </c>
      <c r="Q426" s="2">
        <f>SUM(parking_data_1030[[#This Row],[Résidenti]:[Autres]])</f>
        <v>20</v>
      </c>
      <c r="R426" s="2">
        <v>0</v>
      </c>
      <c r="S426" s="2">
        <v>0</v>
      </c>
      <c r="T426" s="2" t="s">
        <v>43</v>
      </c>
      <c r="U426" s="2" t="s">
        <v>44</v>
      </c>
      <c r="V426" s="2" t="s">
        <v>45</v>
      </c>
      <c r="W426" s="2">
        <v>1</v>
      </c>
      <c r="X426" s="2">
        <v>1</v>
      </c>
      <c r="Y426" s="2">
        <v>0</v>
      </c>
      <c r="Z426" s="2">
        <v>0</v>
      </c>
      <c r="AA426" s="2">
        <v>0</v>
      </c>
      <c r="AB426" s="2"/>
      <c r="AC426" s="2">
        <v>0</v>
      </c>
      <c r="AD426" s="2"/>
      <c r="AE426" s="2" t="s">
        <v>106</v>
      </c>
      <c r="AF426" s="2">
        <v>1891</v>
      </c>
      <c r="AG426" s="2">
        <v>32</v>
      </c>
      <c r="AH426" s="2" t="s">
        <v>210</v>
      </c>
      <c r="AI426" s="2" t="s">
        <v>43</v>
      </c>
      <c r="AJ426" s="2">
        <v>24</v>
      </c>
      <c r="AK426" s="2">
        <v>8</v>
      </c>
      <c r="AL426" s="2"/>
      <c r="AM426" s="2">
        <v>0</v>
      </c>
      <c r="AN426" s="2">
        <v>0</v>
      </c>
      <c r="AO426" s="2"/>
      <c r="AP426" s="2"/>
      <c r="AQ426" s="2" t="s">
        <v>48</v>
      </c>
      <c r="AR426" s="2" t="s">
        <v>1174</v>
      </c>
      <c r="AS426" s="2" t="s">
        <v>1272</v>
      </c>
      <c r="AT426" s="2" t="s">
        <v>1273</v>
      </c>
      <c r="AU426" s="2" t="s">
        <v>1270</v>
      </c>
      <c r="AV426" s="2" t="s">
        <v>1142</v>
      </c>
      <c r="AW426" s="2">
        <v>4.3924544933999998</v>
      </c>
      <c r="AX426" s="2">
        <v>50.849275565299997</v>
      </c>
    </row>
    <row r="427" spans="2:50" x14ac:dyDescent="0.25">
      <c r="B427" s="2">
        <v>238</v>
      </c>
      <c r="C427" s="2">
        <v>3001489</v>
      </c>
      <c r="D427" s="2" t="s">
        <v>211</v>
      </c>
      <c r="E427" s="2">
        <v>26</v>
      </c>
      <c r="F427" s="2">
        <v>0</v>
      </c>
      <c r="G427" s="2">
        <v>0</v>
      </c>
      <c r="H427" s="2">
        <v>0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 s="2">
        <v>0</v>
      </c>
      <c r="O427" s="2">
        <v>0</v>
      </c>
      <c r="P427" s="2">
        <v>0</v>
      </c>
      <c r="Q427" s="2">
        <f>SUM(parking_data_1030[[#This Row],[Résidenti]:[Autres]])</f>
        <v>26</v>
      </c>
      <c r="R427" s="2">
        <v>0</v>
      </c>
      <c r="S427" s="2">
        <v>0</v>
      </c>
      <c r="T427" s="2" t="s">
        <v>43</v>
      </c>
      <c r="U427" s="2" t="s">
        <v>54</v>
      </c>
      <c r="V427" s="2" t="s">
        <v>45</v>
      </c>
      <c r="W427" s="2">
        <v>0</v>
      </c>
      <c r="X427" s="2">
        <v>1</v>
      </c>
      <c r="Y427" s="2">
        <v>0</v>
      </c>
      <c r="Z427" s="2">
        <v>1</v>
      </c>
      <c r="AA427" s="2">
        <v>0</v>
      </c>
      <c r="AB427" s="2"/>
      <c r="AC427" s="2">
        <v>0</v>
      </c>
      <c r="AD427" s="2"/>
      <c r="AE427" s="2" t="s">
        <v>106</v>
      </c>
      <c r="AF427" s="2">
        <v>0</v>
      </c>
      <c r="AG427" s="2">
        <v>0</v>
      </c>
      <c r="AH427" s="2" t="s">
        <v>74</v>
      </c>
      <c r="AI427" s="2" t="s">
        <v>43</v>
      </c>
      <c r="AJ427" s="2">
        <v>0</v>
      </c>
      <c r="AK427" s="2">
        <v>0</v>
      </c>
      <c r="AL427" s="2"/>
      <c r="AM427" s="2">
        <v>0</v>
      </c>
      <c r="AN427" s="2">
        <v>0</v>
      </c>
      <c r="AO427" s="2"/>
      <c r="AP427" s="2"/>
      <c r="AQ427" s="2" t="s">
        <v>48</v>
      </c>
      <c r="AR427" s="2" t="s">
        <v>1038</v>
      </c>
      <c r="AS427" s="2" t="s">
        <v>1272</v>
      </c>
      <c r="AT427" s="2" t="s">
        <v>1273</v>
      </c>
      <c r="AU427" s="2" t="s">
        <v>1274</v>
      </c>
      <c r="AV427" s="2" t="s">
        <v>1142</v>
      </c>
      <c r="AW427" s="2">
        <v>4.3920853877999999</v>
      </c>
      <c r="AX427" s="2">
        <v>50.849233096699997</v>
      </c>
    </row>
    <row r="428" spans="2:50" x14ac:dyDescent="0.25">
      <c r="B428" s="2">
        <v>390</v>
      </c>
      <c r="C428" s="2">
        <v>2132259</v>
      </c>
      <c r="D428" s="2" t="s">
        <v>617</v>
      </c>
      <c r="E428" s="2">
        <v>11</v>
      </c>
      <c r="F428" s="2">
        <v>0</v>
      </c>
      <c r="G428" s="2">
        <v>0</v>
      </c>
      <c r="H428" s="2">
        <v>0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 s="2">
        <v>0</v>
      </c>
      <c r="O428" s="2">
        <v>0</v>
      </c>
      <c r="P428" s="2">
        <v>0</v>
      </c>
      <c r="Q428" s="2">
        <f>SUM(parking_data_1030[[#This Row],[Résidenti]:[Autres]])</f>
        <v>11</v>
      </c>
      <c r="R428" s="2">
        <v>0</v>
      </c>
      <c r="S428" s="2">
        <v>0</v>
      </c>
      <c r="T428" s="2" t="s">
        <v>43</v>
      </c>
      <c r="U428" s="2" t="s">
        <v>44</v>
      </c>
      <c r="V428" s="2" t="s">
        <v>45</v>
      </c>
      <c r="W428" s="2">
        <v>0</v>
      </c>
      <c r="X428" s="2">
        <v>1</v>
      </c>
      <c r="Y428" s="2">
        <v>0</v>
      </c>
      <c r="Z428" s="2">
        <v>1</v>
      </c>
      <c r="AA428" s="2">
        <v>0</v>
      </c>
      <c r="AB428" s="2"/>
      <c r="AC428" s="2">
        <v>0</v>
      </c>
      <c r="AD428" s="2"/>
      <c r="AE428" s="2" t="s">
        <v>46</v>
      </c>
      <c r="AF428" s="2">
        <v>0</v>
      </c>
      <c r="AG428" s="2">
        <v>0</v>
      </c>
      <c r="AH428" s="2" t="s">
        <v>120</v>
      </c>
      <c r="AI428" s="2" t="s">
        <v>43</v>
      </c>
      <c r="AJ428" s="2">
        <v>0</v>
      </c>
      <c r="AK428" s="2">
        <v>0</v>
      </c>
      <c r="AL428" s="2"/>
      <c r="AM428" s="2">
        <v>0</v>
      </c>
      <c r="AN428" s="2">
        <v>0</v>
      </c>
      <c r="AO428" s="2"/>
      <c r="AP428" s="2"/>
      <c r="AQ428" s="2" t="s">
        <v>48</v>
      </c>
      <c r="AR428" s="2" t="s">
        <v>1026</v>
      </c>
      <c r="AS428" s="2" t="s">
        <v>1502</v>
      </c>
      <c r="AT428" s="2" t="s">
        <v>1503</v>
      </c>
      <c r="AU428" s="2" t="s">
        <v>1504</v>
      </c>
      <c r="AV428" s="2" t="s">
        <v>1170</v>
      </c>
      <c r="AW428" s="2">
        <v>4.3768495099000004</v>
      </c>
      <c r="AX428" s="2">
        <v>50.8677573103</v>
      </c>
    </row>
    <row r="429" spans="2:50" x14ac:dyDescent="0.25">
      <c r="B429" s="2">
        <v>394</v>
      </c>
      <c r="C429" s="2">
        <v>8319268</v>
      </c>
      <c r="D429" s="2" t="s">
        <v>622</v>
      </c>
      <c r="E429" s="2">
        <v>69</v>
      </c>
      <c r="F429" s="2">
        <v>0</v>
      </c>
      <c r="G429" s="2">
        <v>0</v>
      </c>
      <c r="H429" s="2">
        <v>0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 s="2">
        <v>0</v>
      </c>
      <c r="O429" s="2">
        <v>0</v>
      </c>
      <c r="P429" s="2">
        <v>0</v>
      </c>
      <c r="Q429" s="2">
        <f>SUM(parking_data_1030[[#This Row],[Résidenti]:[Autres]])</f>
        <v>69</v>
      </c>
      <c r="R429" s="2">
        <v>0</v>
      </c>
      <c r="S429" s="2">
        <v>0</v>
      </c>
      <c r="T429" s="2" t="s">
        <v>43</v>
      </c>
      <c r="U429" s="2" t="s">
        <v>76</v>
      </c>
      <c r="V429" s="2" t="s">
        <v>45</v>
      </c>
      <c r="W429" s="2">
        <v>1</v>
      </c>
      <c r="X429" s="2">
        <v>1</v>
      </c>
      <c r="Y429" s="2">
        <v>0</v>
      </c>
      <c r="Z429" s="2">
        <v>0</v>
      </c>
      <c r="AA429" s="2">
        <v>0</v>
      </c>
      <c r="AB429" s="2"/>
      <c r="AC429" s="2">
        <v>0</v>
      </c>
      <c r="AD429" s="2"/>
      <c r="AE429" s="2" t="s">
        <v>106</v>
      </c>
      <c r="AF429" s="2">
        <v>0</v>
      </c>
      <c r="AG429" s="2">
        <v>0</v>
      </c>
      <c r="AH429" s="2"/>
      <c r="AI429" s="2" t="s">
        <v>43</v>
      </c>
      <c r="AJ429" s="2">
        <v>0</v>
      </c>
      <c r="AK429" s="2">
        <v>0</v>
      </c>
      <c r="AL429" s="2"/>
      <c r="AM429" s="2">
        <v>0</v>
      </c>
      <c r="AN429" s="2">
        <v>0</v>
      </c>
      <c r="AO429" s="2"/>
      <c r="AP429" s="2"/>
      <c r="AQ429" s="2" t="s">
        <v>48</v>
      </c>
      <c r="AR429" s="2" t="s">
        <v>1206</v>
      </c>
      <c r="AS429" s="2" t="s">
        <v>1515</v>
      </c>
      <c r="AT429" s="2" t="s">
        <v>1516</v>
      </c>
      <c r="AU429" s="2" t="s">
        <v>1514</v>
      </c>
      <c r="AV429" s="2" t="s">
        <v>1063</v>
      </c>
      <c r="AW429" s="2">
        <v>4.3800267245000004</v>
      </c>
      <c r="AX429" s="2">
        <v>50.864982210199997</v>
      </c>
    </row>
    <row r="430" spans="2:50" x14ac:dyDescent="0.25">
      <c r="B430" s="2">
        <v>397</v>
      </c>
      <c r="C430" s="2">
        <v>2162417</v>
      </c>
      <c r="D430" s="2" t="s">
        <v>600</v>
      </c>
      <c r="E430" s="2">
        <v>85</v>
      </c>
      <c r="F430" s="2">
        <v>0</v>
      </c>
      <c r="G430" s="2">
        <v>0</v>
      </c>
      <c r="H430" s="2">
        <v>0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 s="2">
        <v>0</v>
      </c>
      <c r="O430" s="2">
        <v>0</v>
      </c>
      <c r="P430" s="2">
        <v>0</v>
      </c>
      <c r="Q430" s="2">
        <f>SUM(parking_data_1030[[#This Row],[Résidenti]:[Autres]])</f>
        <v>85</v>
      </c>
      <c r="R430" s="2">
        <v>0</v>
      </c>
      <c r="S430" s="2">
        <v>0</v>
      </c>
      <c r="T430" s="2" t="s">
        <v>43</v>
      </c>
      <c r="U430" s="2" t="s">
        <v>44</v>
      </c>
      <c r="V430" s="2" t="s">
        <v>59</v>
      </c>
      <c r="W430" s="2">
        <v>1</v>
      </c>
      <c r="X430" s="2">
        <v>1</v>
      </c>
      <c r="Y430" s="2">
        <v>0</v>
      </c>
      <c r="Z430" s="2">
        <v>0</v>
      </c>
      <c r="AA430" s="2">
        <v>0</v>
      </c>
      <c r="AB430" s="2"/>
      <c r="AC430" s="2">
        <v>0</v>
      </c>
      <c r="AD430" s="2"/>
      <c r="AE430" s="2" t="s">
        <v>106</v>
      </c>
      <c r="AF430" s="2">
        <v>0</v>
      </c>
      <c r="AG430" s="2">
        <v>0</v>
      </c>
      <c r="AH430" s="2" t="s">
        <v>321</v>
      </c>
      <c r="AI430" s="2" t="s">
        <v>43</v>
      </c>
      <c r="AJ430" s="2">
        <v>0</v>
      </c>
      <c r="AK430" s="2">
        <v>0</v>
      </c>
      <c r="AL430" s="2"/>
      <c r="AM430" s="2">
        <v>0</v>
      </c>
      <c r="AN430" s="2">
        <v>0</v>
      </c>
      <c r="AO430" s="2"/>
      <c r="AP430" s="2"/>
      <c r="AQ430" s="2" t="s">
        <v>48</v>
      </c>
      <c r="AR430" s="2" t="s">
        <v>1519</v>
      </c>
      <c r="AS430" s="2" t="s">
        <v>1515</v>
      </c>
      <c r="AT430" s="2" t="s">
        <v>1516</v>
      </c>
      <c r="AU430" s="2" t="s">
        <v>1514</v>
      </c>
      <c r="AV430" s="2" t="s">
        <v>1063</v>
      </c>
      <c r="AW430" s="2">
        <v>4.3802011970999999</v>
      </c>
      <c r="AX430" s="2">
        <v>50.865718087799998</v>
      </c>
    </row>
    <row r="431" spans="2:50" x14ac:dyDescent="0.25">
      <c r="B431" s="2">
        <v>398</v>
      </c>
      <c r="C431" s="2">
        <v>2162401</v>
      </c>
      <c r="D431" s="2" t="s">
        <v>601</v>
      </c>
      <c r="E431" s="2">
        <v>17</v>
      </c>
      <c r="F431" s="2">
        <v>0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f>SUM(parking_data_1030[[#This Row],[Résidenti]:[Autres]])</f>
        <v>17</v>
      </c>
      <c r="R431" s="2">
        <v>0</v>
      </c>
      <c r="S431" s="2">
        <v>0</v>
      </c>
      <c r="T431" s="2" t="s">
        <v>43</v>
      </c>
      <c r="U431" s="2" t="s">
        <v>44</v>
      </c>
      <c r="V431" s="2" t="s">
        <v>45</v>
      </c>
      <c r="W431" s="2">
        <v>0</v>
      </c>
      <c r="X431" s="2">
        <v>1</v>
      </c>
      <c r="Y431" s="2">
        <v>0</v>
      </c>
      <c r="Z431" s="2">
        <v>1</v>
      </c>
      <c r="AA431" s="2">
        <v>0</v>
      </c>
      <c r="AB431" s="2"/>
      <c r="AC431" s="2">
        <v>0</v>
      </c>
      <c r="AD431" s="2"/>
      <c r="AE431" s="2" t="s">
        <v>106</v>
      </c>
      <c r="AF431" s="2">
        <v>0</v>
      </c>
      <c r="AG431" s="2">
        <v>0</v>
      </c>
      <c r="AH431" s="2" t="s">
        <v>120</v>
      </c>
      <c r="AI431" s="2" t="s">
        <v>43</v>
      </c>
      <c r="AJ431" s="2">
        <v>0</v>
      </c>
      <c r="AK431" s="2">
        <v>0</v>
      </c>
      <c r="AL431" s="2"/>
      <c r="AM431" s="2">
        <v>0</v>
      </c>
      <c r="AN431" s="2">
        <v>0</v>
      </c>
      <c r="AO431" s="2"/>
      <c r="AP431" s="2"/>
      <c r="AQ431" s="2" t="s">
        <v>48</v>
      </c>
      <c r="AR431" s="2" t="s">
        <v>1520</v>
      </c>
      <c r="AS431" s="2" t="s">
        <v>1515</v>
      </c>
      <c r="AT431" s="2" t="s">
        <v>1516</v>
      </c>
      <c r="AU431" s="2" t="s">
        <v>1514</v>
      </c>
      <c r="AV431" s="2" t="s">
        <v>1063</v>
      </c>
      <c r="AW431" s="2">
        <v>4.379965007</v>
      </c>
      <c r="AX431" s="2">
        <v>50.8662791613</v>
      </c>
    </row>
    <row r="432" spans="2:50" x14ac:dyDescent="0.25">
      <c r="B432" s="2">
        <v>402</v>
      </c>
      <c r="C432" s="2">
        <v>3000255</v>
      </c>
      <c r="D432" s="2" t="s">
        <v>608</v>
      </c>
      <c r="E432" s="2">
        <v>10</v>
      </c>
      <c r="F432" s="2">
        <v>0</v>
      </c>
      <c r="G432" s="2">
        <v>0</v>
      </c>
      <c r="H432" s="2">
        <v>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 s="2">
        <v>0</v>
      </c>
      <c r="O432" s="2">
        <v>0</v>
      </c>
      <c r="P432" s="2">
        <v>0</v>
      </c>
      <c r="Q432" s="2">
        <f>SUM(parking_data_1030[[#This Row],[Résidenti]:[Autres]])</f>
        <v>10</v>
      </c>
      <c r="R432" s="2">
        <v>0</v>
      </c>
      <c r="S432" s="2">
        <v>0</v>
      </c>
      <c r="T432" s="2" t="s">
        <v>43</v>
      </c>
      <c r="U432" s="2" t="s">
        <v>54</v>
      </c>
      <c r="V432" s="2" t="s">
        <v>45</v>
      </c>
      <c r="W432" s="2">
        <v>0</v>
      </c>
      <c r="X432" s="2">
        <v>1</v>
      </c>
      <c r="Y432" s="2">
        <v>0</v>
      </c>
      <c r="Z432" s="2">
        <v>1</v>
      </c>
      <c r="AA432" s="2">
        <v>0</v>
      </c>
      <c r="AB432" s="2"/>
      <c r="AC432" s="2">
        <v>0</v>
      </c>
      <c r="AD432" s="2"/>
      <c r="AE432" s="2" t="s">
        <v>46</v>
      </c>
      <c r="AF432" s="2">
        <v>0</v>
      </c>
      <c r="AG432" s="2">
        <v>0</v>
      </c>
      <c r="AH432" s="2" t="s">
        <v>609</v>
      </c>
      <c r="AI432" s="2" t="s">
        <v>43</v>
      </c>
      <c r="AJ432" s="2">
        <v>0</v>
      </c>
      <c r="AK432" s="2">
        <v>0</v>
      </c>
      <c r="AL432" s="2"/>
      <c r="AM432" s="2">
        <v>0</v>
      </c>
      <c r="AN432" s="2">
        <v>0</v>
      </c>
      <c r="AO432" s="2"/>
      <c r="AP432" s="2"/>
      <c r="AQ432" s="2" t="s">
        <v>48</v>
      </c>
      <c r="AR432" s="2" t="s">
        <v>1524</v>
      </c>
      <c r="AS432" s="2" t="s">
        <v>1515</v>
      </c>
      <c r="AT432" s="2" t="s">
        <v>1516</v>
      </c>
      <c r="AU432" s="2" t="s">
        <v>1525</v>
      </c>
      <c r="AV432" s="2" t="s">
        <v>1170</v>
      </c>
      <c r="AW432" s="2">
        <v>4.3786538159999999</v>
      </c>
      <c r="AX432" s="2">
        <v>50.868566213100003</v>
      </c>
    </row>
    <row r="433" spans="2:50" x14ac:dyDescent="0.25">
      <c r="B433" s="2">
        <v>404</v>
      </c>
      <c r="C433" s="2"/>
      <c r="D433" s="2" t="s">
        <v>586</v>
      </c>
      <c r="E433" s="2">
        <v>43</v>
      </c>
      <c r="F433" s="2">
        <v>0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f>SUM(parking_data_1030[[#This Row],[Résidenti]:[Autres]])</f>
        <v>43</v>
      </c>
      <c r="R433" s="2">
        <v>0</v>
      </c>
      <c r="S433" s="2">
        <v>0</v>
      </c>
      <c r="T433" s="2" t="s">
        <v>43</v>
      </c>
      <c r="U433" s="2" t="s">
        <v>76</v>
      </c>
      <c r="V433" s="2" t="s">
        <v>45</v>
      </c>
      <c r="W433" s="2">
        <v>1</v>
      </c>
      <c r="X433" s="2">
        <v>0</v>
      </c>
      <c r="Y433" s="2">
        <v>0</v>
      </c>
      <c r="Z433" s="2">
        <v>0</v>
      </c>
      <c r="AA433" s="2">
        <v>0</v>
      </c>
      <c r="AB433" s="2"/>
      <c r="AC433" s="2">
        <v>0</v>
      </c>
      <c r="AD433" s="2"/>
      <c r="AE433" s="2" t="s">
        <v>46</v>
      </c>
      <c r="AF433" s="2">
        <v>0</v>
      </c>
      <c r="AG433" s="2">
        <v>0</v>
      </c>
      <c r="AH433" s="2" t="s">
        <v>587</v>
      </c>
      <c r="AI433" s="2" t="s">
        <v>43</v>
      </c>
      <c r="AJ433" s="2">
        <v>0</v>
      </c>
      <c r="AK433" s="2">
        <v>0</v>
      </c>
      <c r="AL433" s="2"/>
      <c r="AM433" s="2">
        <v>0</v>
      </c>
      <c r="AN433" s="2">
        <v>0</v>
      </c>
      <c r="AO433" s="2"/>
      <c r="AP433" s="2"/>
      <c r="AQ433" s="2" t="s">
        <v>48</v>
      </c>
      <c r="AR433" s="12" t="s">
        <v>1224</v>
      </c>
      <c r="AS433" s="2" t="s">
        <v>1515</v>
      </c>
      <c r="AT433" s="2" t="s">
        <v>1516</v>
      </c>
      <c r="AU433" s="2" t="s">
        <v>1526</v>
      </c>
      <c r="AV433" s="2" t="s">
        <v>1170</v>
      </c>
      <c r="AW433" s="2">
        <v>4.3788106725000002</v>
      </c>
      <c r="AX433" s="2">
        <v>50.869674336499997</v>
      </c>
    </row>
    <row r="434" spans="2:50" x14ac:dyDescent="0.25">
      <c r="B434" s="2">
        <v>328</v>
      </c>
      <c r="C434" s="2">
        <v>2142119</v>
      </c>
      <c r="D434" s="2" t="s">
        <v>349</v>
      </c>
      <c r="E434" s="2">
        <v>20</v>
      </c>
      <c r="F434" s="2">
        <v>0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f>SUM(parking_data_1030[[#This Row],[Résidenti]:[Autres]])</f>
        <v>20</v>
      </c>
      <c r="R434" s="2">
        <v>0</v>
      </c>
      <c r="S434" s="2">
        <v>0</v>
      </c>
      <c r="T434" s="2" t="s">
        <v>43</v>
      </c>
      <c r="U434" s="2" t="s">
        <v>54</v>
      </c>
      <c r="V434" s="2" t="s">
        <v>45</v>
      </c>
      <c r="W434" s="2">
        <v>0</v>
      </c>
      <c r="X434" s="2">
        <v>1</v>
      </c>
      <c r="Y434" s="2">
        <v>0</v>
      </c>
      <c r="Z434" s="2">
        <v>1</v>
      </c>
      <c r="AA434" s="2">
        <v>0</v>
      </c>
      <c r="AB434" s="2"/>
      <c r="AC434" s="2">
        <v>0</v>
      </c>
      <c r="AD434" s="2"/>
      <c r="AE434" s="2" t="s">
        <v>106</v>
      </c>
      <c r="AF434" s="2">
        <v>0</v>
      </c>
      <c r="AG434" s="2">
        <v>0</v>
      </c>
      <c r="AH434" s="2" t="s">
        <v>55</v>
      </c>
      <c r="AI434" s="2" t="s">
        <v>43</v>
      </c>
      <c r="AJ434" s="2">
        <v>0</v>
      </c>
      <c r="AK434" s="2">
        <v>0</v>
      </c>
      <c r="AL434" s="2"/>
      <c r="AM434" s="2">
        <v>0</v>
      </c>
      <c r="AN434" s="2">
        <v>0</v>
      </c>
      <c r="AO434" s="2"/>
      <c r="AP434" s="2"/>
      <c r="AQ434" s="2" t="s">
        <v>48</v>
      </c>
      <c r="AR434" s="2" t="s">
        <v>870</v>
      </c>
      <c r="AS434" s="2" t="s">
        <v>1417</v>
      </c>
      <c r="AT434" s="2" t="s">
        <v>1418</v>
      </c>
      <c r="AU434" s="2" t="s">
        <v>1419</v>
      </c>
      <c r="AV434" s="2" t="s">
        <v>1420</v>
      </c>
      <c r="AW434" s="2">
        <v>4.3766980457000004</v>
      </c>
      <c r="AX434" s="2">
        <v>50.855227340299997</v>
      </c>
    </row>
    <row r="435" spans="2:50" x14ac:dyDescent="0.25">
      <c r="B435" s="2">
        <v>446</v>
      </c>
      <c r="C435" s="2">
        <v>2159815</v>
      </c>
      <c r="D435" s="2" t="s">
        <v>628</v>
      </c>
      <c r="E435" s="2">
        <v>43</v>
      </c>
      <c r="F435" s="2">
        <v>0</v>
      </c>
      <c r="G435" s="2">
        <v>0</v>
      </c>
      <c r="H435" s="2">
        <v>73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f>SUM(parking_data_1030[[#This Row],[Résidenti]:[Autres]])</f>
        <v>116</v>
      </c>
      <c r="R435" s="2">
        <v>0</v>
      </c>
      <c r="S435" s="2">
        <v>0</v>
      </c>
      <c r="T435" s="2" t="s">
        <v>43</v>
      </c>
      <c r="U435" s="2" t="s">
        <v>76</v>
      </c>
      <c r="V435" s="2" t="s">
        <v>45</v>
      </c>
      <c r="W435" s="2">
        <v>1</v>
      </c>
      <c r="X435" s="2">
        <v>1</v>
      </c>
      <c r="Y435" s="2">
        <v>1</v>
      </c>
      <c r="Z435" s="2">
        <v>0</v>
      </c>
      <c r="AA435" s="2">
        <v>1</v>
      </c>
      <c r="AB435" s="2" t="s">
        <v>629</v>
      </c>
      <c r="AC435" s="2">
        <v>0</v>
      </c>
      <c r="AD435" s="2"/>
      <c r="AE435" s="2" t="s">
        <v>52</v>
      </c>
      <c r="AF435" s="2">
        <v>13839</v>
      </c>
      <c r="AG435" s="2">
        <v>70</v>
      </c>
      <c r="AH435" s="2" t="s">
        <v>630</v>
      </c>
      <c r="AI435" s="2" t="s">
        <v>43</v>
      </c>
      <c r="AJ435" s="2">
        <v>-3</v>
      </c>
      <c r="AK435" s="2">
        <v>73</v>
      </c>
      <c r="AL435" s="2" t="s">
        <v>280</v>
      </c>
      <c r="AM435" s="2">
        <v>0</v>
      </c>
      <c r="AN435" s="2">
        <v>0</v>
      </c>
      <c r="AO435" s="2"/>
      <c r="AP435" s="2"/>
      <c r="AQ435" s="2" t="s">
        <v>48</v>
      </c>
      <c r="AR435" s="2" t="s">
        <v>1264</v>
      </c>
      <c r="AS435" s="2" t="s">
        <v>894</v>
      </c>
      <c r="AT435" s="2" t="s">
        <v>895</v>
      </c>
      <c r="AU435" s="2" t="s">
        <v>1265</v>
      </c>
      <c r="AV435" s="2" t="s">
        <v>911</v>
      </c>
      <c r="AW435" s="2">
        <v>4.3617387288999998</v>
      </c>
      <c r="AX435" s="2">
        <v>50.863615240100003</v>
      </c>
    </row>
    <row r="436" spans="2:50" x14ac:dyDescent="0.25">
      <c r="B436" s="2">
        <v>473</v>
      </c>
      <c r="C436" s="2">
        <v>2134782</v>
      </c>
      <c r="D436" s="2" t="s">
        <v>791</v>
      </c>
      <c r="E436" s="2">
        <v>0</v>
      </c>
      <c r="F436" s="2">
        <v>0</v>
      </c>
      <c r="G436" s="2">
        <v>0</v>
      </c>
      <c r="H436" s="2">
        <v>447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 s="2">
        <v>115</v>
      </c>
      <c r="O436" s="2">
        <v>0</v>
      </c>
      <c r="P436" s="2">
        <v>0</v>
      </c>
      <c r="Q436" s="2">
        <f>SUM(parking_data_1030[[#This Row],[Résidenti]:[Autres]])</f>
        <v>562</v>
      </c>
      <c r="R436" s="2">
        <v>165</v>
      </c>
      <c r="S436" s="2">
        <v>50</v>
      </c>
      <c r="T436" s="2" t="s">
        <v>43</v>
      </c>
      <c r="U436" s="2" t="s">
        <v>76</v>
      </c>
      <c r="V436" s="2" t="s">
        <v>45</v>
      </c>
      <c r="W436" s="2">
        <v>1</v>
      </c>
      <c r="X436" s="2">
        <v>0</v>
      </c>
      <c r="Y436" s="2">
        <v>0</v>
      </c>
      <c r="Z436" s="2">
        <v>0</v>
      </c>
      <c r="AA436" s="2">
        <v>1</v>
      </c>
      <c r="AB436" s="2"/>
      <c r="AC436" s="2">
        <v>0</v>
      </c>
      <c r="AD436" s="3">
        <v>44614</v>
      </c>
      <c r="AE436" s="2" t="s">
        <v>52</v>
      </c>
      <c r="AF436" s="2">
        <v>73000</v>
      </c>
      <c r="AG436" s="2">
        <v>366</v>
      </c>
      <c r="AH436" s="2" t="s">
        <v>792</v>
      </c>
      <c r="AI436" s="2" t="s">
        <v>43</v>
      </c>
      <c r="AJ436" s="2">
        <v>-81</v>
      </c>
      <c r="AK436" s="2">
        <v>562</v>
      </c>
      <c r="AL436" s="2" t="s">
        <v>525</v>
      </c>
      <c r="AM436" s="2">
        <v>0</v>
      </c>
      <c r="AN436" s="2">
        <v>0</v>
      </c>
      <c r="AO436" s="2"/>
      <c r="AP436" s="2"/>
      <c r="AQ436" s="2" t="s">
        <v>48</v>
      </c>
      <c r="AR436" s="2" t="s">
        <v>893</v>
      </c>
      <c r="AS436" s="2" t="s">
        <v>894</v>
      </c>
      <c r="AT436" s="2" t="s">
        <v>895</v>
      </c>
      <c r="AU436" s="2" t="s">
        <v>896</v>
      </c>
      <c r="AV436" s="2" t="s">
        <v>897</v>
      </c>
      <c r="AW436" s="2">
        <v>4.3600411274999997</v>
      </c>
      <c r="AX436" s="2">
        <v>50.860525834000001</v>
      </c>
    </row>
    <row r="437" spans="2:50" x14ac:dyDescent="0.25">
      <c r="B437" s="2">
        <v>474</v>
      </c>
      <c r="C437" s="2">
        <v>10834579</v>
      </c>
      <c r="D437" s="2" t="s">
        <v>526</v>
      </c>
      <c r="E437" s="2">
        <v>94</v>
      </c>
      <c r="F437" s="2">
        <v>0</v>
      </c>
      <c r="G437" s="2">
        <v>0</v>
      </c>
      <c r="H437" s="2">
        <v>20</v>
      </c>
      <c r="I437" s="2">
        <v>0</v>
      </c>
      <c r="J437" s="2">
        <v>0</v>
      </c>
      <c r="K437" s="2">
        <v>0</v>
      </c>
      <c r="L437" s="2">
        <v>0</v>
      </c>
      <c r="M437" s="2">
        <v>10</v>
      </c>
      <c r="N437" s="2">
        <v>0</v>
      </c>
      <c r="O437" s="2">
        <v>0</v>
      </c>
      <c r="P437" s="2">
        <v>0</v>
      </c>
      <c r="Q437" s="2">
        <f>SUM(parking_data_1030[[#This Row],[Résidenti]:[Autres]])</f>
        <v>124</v>
      </c>
      <c r="R437" s="2">
        <v>0</v>
      </c>
      <c r="S437" s="2">
        <v>0</v>
      </c>
      <c r="T437" s="2" t="s">
        <v>79</v>
      </c>
      <c r="U437" s="2" t="s">
        <v>76</v>
      </c>
      <c r="V437" s="2" t="s">
        <v>45</v>
      </c>
      <c r="W437" s="2">
        <v>1</v>
      </c>
      <c r="X437" s="2">
        <v>0</v>
      </c>
      <c r="Y437" s="2">
        <v>0</v>
      </c>
      <c r="Z437" s="2">
        <v>0</v>
      </c>
      <c r="AA437" s="2">
        <v>0</v>
      </c>
      <c r="AB437" s="2"/>
      <c r="AC437" s="2">
        <v>50</v>
      </c>
      <c r="AD437" s="2"/>
      <c r="AE437" s="2" t="s">
        <v>52</v>
      </c>
      <c r="AF437" s="2">
        <v>4939</v>
      </c>
      <c r="AG437" s="2">
        <v>26</v>
      </c>
      <c r="AH437" s="2" t="s">
        <v>527</v>
      </c>
      <c r="AI437" s="2" t="s">
        <v>43</v>
      </c>
      <c r="AJ437" s="2">
        <v>6</v>
      </c>
      <c r="AK437" s="2">
        <v>30</v>
      </c>
      <c r="AL437" s="2"/>
      <c r="AM437" s="2">
        <v>0</v>
      </c>
      <c r="AN437" s="2">
        <v>0</v>
      </c>
      <c r="AO437" s="2"/>
      <c r="AP437" s="2"/>
      <c r="AQ437" s="2" t="s">
        <v>48</v>
      </c>
      <c r="AR437" s="2" t="s">
        <v>1471</v>
      </c>
      <c r="AS437" s="2" t="s">
        <v>894</v>
      </c>
      <c r="AT437" s="2" t="s">
        <v>895</v>
      </c>
      <c r="AU437" s="2" t="s">
        <v>992</v>
      </c>
      <c r="AV437" s="2" t="s">
        <v>911</v>
      </c>
      <c r="AW437" s="2">
        <v>4.3613340558000004</v>
      </c>
      <c r="AX437" s="2">
        <v>50.862610959000001</v>
      </c>
    </row>
    <row r="438" spans="2:50" x14ac:dyDescent="0.25">
      <c r="B438" s="2">
        <v>481</v>
      </c>
      <c r="C438" s="2">
        <v>2135009</v>
      </c>
      <c r="D438" s="2" t="s">
        <v>815</v>
      </c>
      <c r="E438" s="2">
        <v>0</v>
      </c>
      <c r="F438" s="2">
        <v>0</v>
      </c>
      <c r="G438" s="2">
        <v>0</v>
      </c>
      <c r="H438" s="2">
        <v>82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f>SUM(parking_data_1030[[#This Row],[Résidenti]:[Autres]])</f>
        <v>82</v>
      </c>
      <c r="R438" s="2">
        <v>21</v>
      </c>
      <c r="S438" s="2">
        <v>21</v>
      </c>
      <c r="T438" s="2" t="s">
        <v>43</v>
      </c>
      <c r="U438" s="2" t="s">
        <v>76</v>
      </c>
      <c r="V438" s="2" t="s">
        <v>45</v>
      </c>
      <c r="W438" s="2">
        <v>0</v>
      </c>
      <c r="X438" s="2">
        <v>1</v>
      </c>
      <c r="Y438" s="2">
        <v>1</v>
      </c>
      <c r="Z438" s="2">
        <v>0</v>
      </c>
      <c r="AA438" s="2">
        <v>1</v>
      </c>
      <c r="AB438" s="2"/>
      <c r="AC438" s="2">
        <v>0</v>
      </c>
      <c r="AD438" s="2"/>
      <c r="AE438" s="2" t="s">
        <v>52</v>
      </c>
      <c r="AF438" s="2">
        <v>8270</v>
      </c>
      <c r="AG438" s="2">
        <v>43</v>
      </c>
      <c r="AH438" s="2"/>
      <c r="AI438" s="2" t="s">
        <v>43</v>
      </c>
      <c r="AJ438" s="2">
        <v>-39</v>
      </c>
      <c r="AK438" s="2">
        <v>82</v>
      </c>
      <c r="AL438" s="2"/>
      <c r="AM438" s="2">
        <v>0</v>
      </c>
      <c r="AN438" s="2">
        <v>0</v>
      </c>
      <c r="AO438" s="2"/>
      <c r="AP438" s="2"/>
      <c r="AQ438" s="2" t="s">
        <v>48</v>
      </c>
      <c r="AR438" s="2" t="s">
        <v>991</v>
      </c>
      <c r="AS438" s="2" t="s">
        <v>894</v>
      </c>
      <c r="AT438" s="2" t="s">
        <v>895</v>
      </c>
      <c r="AU438" s="2" t="s">
        <v>992</v>
      </c>
      <c r="AV438" s="2" t="s">
        <v>911</v>
      </c>
      <c r="AW438" s="2">
        <v>4.3606683676999998</v>
      </c>
      <c r="AX438" s="2">
        <v>50.862138521600002</v>
      </c>
    </row>
    <row r="439" spans="2:50" x14ac:dyDescent="0.25">
      <c r="B439" s="2">
        <v>420</v>
      </c>
      <c r="C439" s="2">
        <v>2173873</v>
      </c>
      <c r="D439" s="2" t="s">
        <v>665</v>
      </c>
      <c r="E439" s="2">
        <v>12</v>
      </c>
      <c r="F439" s="2">
        <v>0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f>SUM(parking_data_1030[[#This Row],[Résidenti]:[Autres]])</f>
        <v>12</v>
      </c>
      <c r="R439" s="2">
        <v>0</v>
      </c>
      <c r="S439" s="2">
        <v>0</v>
      </c>
      <c r="T439" s="2" t="s">
        <v>43</v>
      </c>
      <c r="U439" s="2" t="s">
        <v>76</v>
      </c>
      <c r="V439" s="2" t="s">
        <v>45</v>
      </c>
      <c r="W439" s="2">
        <v>1</v>
      </c>
      <c r="X439" s="2">
        <v>1</v>
      </c>
      <c r="Y439" s="2">
        <v>0</v>
      </c>
      <c r="Z439" s="2">
        <v>0</v>
      </c>
      <c r="AA439" s="2">
        <v>0</v>
      </c>
      <c r="AB439" s="2"/>
      <c r="AC439" s="2">
        <v>0</v>
      </c>
      <c r="AD439" s="2"/>
      <c r="AE439" s="2" t="s">
        <v>46</v>
      </c>
      <c r="AF439" s="2">
        <v>0</v>
      </c>
      <c r="AG439" s="2">
        <v>0</v>
      </c>
      <c r="AH439" s="2"/>
      <c r="AI439" s="2" t="s">
        <v>43</v>
      </c>
      <c r="AJ439" s="2">
        <v>0</v>
      </c>
      <c r="AK439" s="2">
        <v>0</v>
      </c>
      <c r="AL439" s="2"/>
      <c r="AM439" s="2">
        <v>0</v>
      </c>
      <c r="AN439" s="2">
        <v>0</v>
      </c>
      <c r="AO439" s="2"/>
      <c r="AP439" s="2"/>
      <c r="AQ439" s="2" t="s">
        <v>48</v>
      </c>
      <c r="AR439" s="2" t="s">
        <v>1493</v>
      </c>
      <c r="AS439" s="2" t="s">
        <v>1167</v>
      </c>
      <c r="AT439" s="2" t="s">
        <v>1168</v>
      </c>
      <c r="AU439" s="2" t="s">
        <v>1542</v>
      </c>
      <c r="AV439" s="2" t="s">
        <v>1170</v>
      </c>
      <c r="AW439" s="2">
        <v>4.3797859973</v>
      </c>
      <c r="AX439" s="2">
        <v>50.870680303199997</v>
      </c>
    </row>
    <row r="440" spans="2:50" x14ac:dyDescent="0.25">
      <c r="B440" s="2">
        <v>421</v>
      </c>
      <c r="C440" s="2">
        <v>2173867</v>
      </c>
      <c r="D440" s="2" t="s">
        <v>666</v>
      </c>
      <c r="E440" s="2">
        <v>0</v>
      </c>
      <c r="F440" s="2">
        <v>0</v>
      </c>
      <c r="G440" s="2">
        <v>0</v>
      </c>
      <c r="H440" s="2">
        <v>0</v>
      </c>
      <c r="I440" s="2">
        <v>40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f>SUM(parking_data_1030[[#This Row],[Résidenti]:[Autres]])</f>
        <v>40</v>
      </c>
      <c r="R440" s="2">
        <v>0</v>
      </c>
      <c r="S440" s="2">
        <v>0</v>
      </c>
      <c r="T440" s="2" t="s">
        <v>79</v>
      </c>
      <c r="U440" s="2" t="s">
        <v>64</v>
      </c>
      <c r="V440" s="2" t="s">
        <v>45</v>
      </c>
      <c r="W440" s="2">
        <v>1</v>
      </c>
      <c r="X440" s="2">
        <v>1</v>
      </c>
      <c r="Y440" s="2">
        <v>1</v>
      </c>
      <c r="Z440" s="2">
        <v>0</v>
      </c>
      <c r="AA440" s="2">
        <v>1</v>
      </c>
      <c r="AB440" s="2"/>
      <c r="AC440" s="2">
        <v>0</v>
      </c>
      <c r="AD440" s="2"/>
      <c r="AE440" s="2" t="s">
        <v>46</v>
      </c>
      <c r="AF440" s="2">
        <v>0</v>
      </c>
      <c r="AG440" s="2">
        <v>0</v>
      </c>
      <c r="AH440" s="2"/>
      <c r="AI440" s="2" t="s">
        <v>43</v>
      </c>
      <c r="AJ440" s="2">
        <v>0</v>
      </c>
      <c r="AK440" s="2">
        <v>40</v>
      </c>
      <c r="AL440" s="2"/>
      <c r="AM440" s="2">
        <v>0</v>
      </c>
      <c r="AN440" s="2">
        <v>0</v>
      </c>
      <c r="AO440" s="2"/>
      <c r="AP440" s="2"/>
      <c r="AQ440" s="2" t="s">
        <v>48</v>
      </c>
      <c r="AR440" s="2" t="s">
        <v>1543</v>
      </c>
      <c r="AS440" s="2" t="s">
        <v>1167</v>
      </c>
      <c r="AT440" s="2" t="s">
        <v>1168</v>
      </c>
      <c r="AU440" s="2" t="s">
        <v>1542</v>
      </c>
      <c r="AV440" s="2" t="s">
        <v>1170</v>
      </c>
      <c r="AW440" s="2">
        <v>4.3804032882000001</v>
      </c>
      <c r="AX440" s="2">
        <v>50.870971487799999</v>
      </c>
    </row>
    <row r="441" spans="2:50" x14ac:dyDescent="0.25">
      <c r="B441" s="2">
        <v>422</v>
      </c>
      <c r="C441" s="2">
        <v>2173895</v>
      </c>
      <c r="D441" s="2" t="s">
        <v>667</v>
      </c>
      <c r="E441" s="2">
        <v>0</v>
      </c>
      <c r="F441" s="2">
        <v>0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18</v>
      </c>
      <c r="P441" s="2">
        <v>0</v>
      </c>
      <c r="Q441" s="2">
        <f>SUM(parking_data_1030[[#This Row],[Résidenti]:[Autres]])</f>
        <v>18</v>
      </c>
      <c r="R441" s="2">
        <v>18</v>
      </c>
      <c r="S441" s="2">
        <v>0</v>
      </c>
      <c r="T441" s="2" t="s">
        <v>43</v>
      </c>
      <c r="U441" s="2" t="s">
        <v>64</v>
      </c>
      <c r="V441" s="2" t="s">
        <v>45</v>
      </c>
      <c r="W441" s="2">
        <v>0</v>
      </c>
      <c r="X441" s="2">
        <v>1</v>
      </c>
      <c r="Y441" s="2">
        <v>0</v>
      </c>
      <c r="Z441" s="2">
        <v>0</v>
      </c>
      <c r="AA441" s="2">
        <v>1</v>
      </c>
      <c r="AB441" s="2"/>
      <c r="AC441" s="2">
        <v>0</v>
      </c>
      <c r="AD441" s="2"/>
      <c r="AE441" s="2" t="s">
        <v>46</v>
      </c>
      <c r="AF441" s="2">
        <v>0</v>
      </c>
      <c r="AG441" s="2">
        <v>0</v>
      </c>
      <c r="AH441" s="2" t="s">
        <v>280</v>
      </c>
      <c r="AI441" s="2" t="s">
        <v>43</v>
      </c>
      <c r="AJ441" s="2">
        <v>0</v>
      </c>
      <c r="AK441" s="2">
        <v>18</v>
      </c>
      <c r="AL441" s="2"/>
      <c r="AM441" s="2">
        <v>0</v>
      </c>
      <c r="AN441" s="2">
        <v>0</v>
      </c>
      <c r="AO441" s="2"/>
      <c r="AP441" s="2"/>
      <c r="AQ441" s="2" t="s">
        <v>48</v>
      </c>
      <c r="AR441" s="2" t="s">
        <v>1266</v>
      </c>
      <c r="AS441" s="2" t="s">
        <v>1167</v>
      </c>
      <c r="AT441" s="2" t="s">
        <v>1168</v>
      </c>
      <c r="AU441" s="2" t="s">
        <v>1542</v>
      </c>
      <c r="AV441" s="2" t="s">
        <v>1170</v>
      </c>
      <c r="AW441" s="2">
        <v>4.3807778935000004</v>
      </c>
      <c r="AX441" s="2">
        <v>50.870715284600003</v>
      </c>
    </row>
    <row r="442" spans="2:50" x14ac:dyDescent="0.25">
      <c r="B442" s="2">
        <v>423</v>
      </c>
      <c r="C442" s="2">
        <v>2173889</v>
      </c>
      <c r="D442" s="2" t="s">
        <v>668</v>
      </c>
      <c r="E442" s="2">
        <v>0</v>
      </c>
      <c r="F442" s="2">
        <v>0</v>
      </c>
      <c r="G442" s="2">
        <v>0</v>
      </c>
      <c r="H442" s="2">
        <v>0</v>
      </c>
      <c r="I442" s="2">
        <v>10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f>SUM(parking_data_1030[[#This Row],[Résidenti]:[Autres]])</f>
        <v>10</v>
      </c>
      <c r="R442" s="2">
        <v>0</v>
      </c>
      <c r="S442" s="2">
        <v>0</v>
      </c>
      <c r="T442" s="2" t="s">
        <v>43</v>
      </c>
      <c r="U442" s="2" t="s">
        <v>44</v>
      </c>
      <c r="V442" s="2" t="s">
        <v>45</v>
      </c>
      <c r="W442" s="2">
        <v>1</v>
      </c>
      <c r="X442" s="2">
        <v>1</v>
      </c>
      <c r="Y442" s="2">
        <v>0</v>
      </c>
      <c r="Z442" s="2">
        <v>0</v>
      </c>
      <c r="AA442" s="2">
        <v>0</v>
      </c>
      <c r="AB442" s="2"/>
      <c r="AC442" s="2">
        <v>0</v>
      </c>
      <c r="AD442" s="2"/>
      <c r="AE442" s="2" t="s">
        <v>46</v>
      </c>
      <c r="AF442" s="2">
        <v>0</v>
      </c>
      <c r="AG442" s="2">
        <v>0</v>
      </c>
      <c r="AH442" s="2" t="s">
        <v>645</v>
      </c>
      <c r="AI442" s="2" t="s">
        <v>43</v>
      </c>
      <c r="AJ442" s="2">
        <v>0</v>
      </c>
      <c r="AK442" s="2">
        <v>10</v>
      </c>
      <c r="AL442" s="2"/>
      <c r="AM442" s="2">
        <v>0</v>
      </c>
      <c r="AN442" s="2">
        <v>0</v>
      </c>
      <c r="AO442" s="2"/>
      <c r="AP442" s="2"/>
      <c r="AQ442" s="2" t="s">
        <v>48</v>
      </c>
      <c r="AR442" s="2" t="s">
        <v>1145</v>
      </c>
      <c r="AS442" s="2" t="s">
        <v>1167</v>
      </c>
      <c r="AT442" s="2" t="s">
        <v>1168</v>
      </c>
      <c r="AU442" s="2" t="s">
        <v>1542</v>
      </c>
      <c r="AV442" s="2" t="s">
        <v>1170</v>
      </c>
      <c r="AW442" s="2">
        <v>4.3809953010999996</v>
      </c>
      <c r="AX442" s="2">
        <v>50.870368088200003</v>
      </c>
    </row>
    <row r="443" spans="2:50" x14ac:dyDescent="0.25">
      <c r="B443" s="2">
        <v>424</v>
      </c>
      <c r="C443" s="2"/>
      <c r="D443" s="2" t="s">
        <v>669</v>
      </c>
      <c r="E443" s="2">
        <v>0</v>
      </c>
      <c r="F443" s="2">
        <v>0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10</v>
      </c>
      <c r="P443" s="2">
        <v>0</v>
      </c>
      <c r="Q443" s="2">
        <f>SUM(parking_data_1030[[#This Row],[Résidenti]:[Autres]])</f>
        <v>10</v>
      </c>
      <c r="R443" s="2">
        <v>10</v>
      </c>
      <c r="S443" s="2">
        <v>0</v>
      </c>
      <c r="T443" s="2" t="s">
        <v>43</v>
      </c>
      <c r="U443" s="2" t="s">
        <v>54</v>
      </c>
      <c r="V443" s="2" t="s">
        <v>45</v>
      </c>
      <c r="W443" s="2">
        <v>0</v>
      </c>
      <c r="X443" s="2">
        <v>1</v>
      </c>
      <c r="Y443" s="2">
        <v>0</v>
      </c>
      <c r="Z443" s="2">
        <v>1</v>
      </c>
      <c r="AA443" s="2">
        <v>0</v>
      </c>
      <c r="AB443" s="2"/>
      <c r="AC443" s="2">
        <v>0</v>
      </c>
      <c r="AD443" s="2"/>
      <c r="AE443" s="2" t="s">
        <v>46</v>
      </c>
      <c r="AF443" s="2">
        <v>0</v>
      </c>
      <c r="AG443" s="2">
        <v>0</v>
      </c>
      <c r="AH443" s="2" t="s">
        <v>670</v>
      </c>
      <c r="AI443" s="2" t="s">
        <v>43</v>
      </c>
      <c r="AJ443" s="2">
        <v>0</v>
      </c>
      <c r="AK443" s="2">
        <v>10</v>
      </c>
      <c r="AL443" s="2"/>
      <c r="AM443" s="2">
        <v>0</v>
      </c>
      <c r="AN443" s="2">
        <v>0</v>
      </c>
      <c r="AO443" s="2"/>
      <c r="AP443" s="2"/>
      <c r="AQ443" s="2" t="s">
        <v>48</v>
      </c>
      <c r="AR443" s="12" t="s">
        <v>1165</v>
      </c>
      <c r="AS443" s="2" t="s">
        <v>1167</v>
      </c>
      <c r="AT443" s="2" t="s">
        <v>1168</v>
      </c>
      <c r="AU443" s="2" t="s">
        <v>1542</v>
      </c>
      <c r="AV443" s="2" t="s">
        <v>1170</v>
      </c>
      <c r="AW443" s="2">
        <v>4.3814231934999999</v>
      </c>
      <c r="AX443" s="2">
        <v>50.870239098200003</v>
      </c>
    </row>
    <row r="444" spans="2:50" x14ac:dyDescent="0.25">
      <c r="B444" s="2">
        <v>428</v>
      </c>
      <c r="C444" s="2">
        <v>3000276</v>
      </c>
      <c r="D444" s="2" t="s">
        <v>653</v>
      </c>
      <c r="E444" s="2">
        <v>0</v>
      </c>
      <c r="F444" s="2">
        <v>0</v>
      </c>
      <c r="G444" s="2">
        <v>0</v>
      </c>
      <c r="H444" s="2">
        <v>0</v>
      </c>
      <c r="I444" s="2">
        <v>20</v>
      </c>
      <c r="J444" s="2">
        <v>0</v>
      </c>
      <c r="K444" s="2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  <c r="Q444" s="2">
        <f>SUM(parking_data_1030[[#This Row],[Résidenti]:[Autres]])</f>
        <v>20</v>
      </c>
      <c r="R444" s="2">
        <v>0</v>
      </c>
      <c r="S444" s="2">
        <v>0</v>
      </c>
      <c r="T444" s="2" t="s">
        <v>43</v>
      </c>
      <c r="U444" s="2" t="s">
        <v>44</v>
      </c>
      <c r="V444" s="2" t="s">
        <v>45</v>
      </c>
      <c r="W444" s="2">
        <v>1</v>
      </c>
      <c r="X444" s="2">
        <v>1</v>
      </c>
      <c r="Y444" s="2">
        <v>0</v>
      </c>
      <c r="Z444" s="2">
        <v>0</v>
      </c>
      <c r="AA444" s="2">
        <v>0</v>
      </c>
      <c r="AB444" s="2"/>
      <c r="AC444" s="2">
        <v>0</v>
      </c>
      <c r="AD444" s="2"/>
      <c r="AE444" s="2" t="s">
        <v>46</v>
      </c>
      <c r="AF444" s="2">
        <v>0</v>
      </c>
      <c r="AG444" s="2">
        <v>0</v>
      </c>
      <c r="AH444" s="2" t="s">
        <v>645</v>
      </c>
      <c r="AI444" s="2" t="s">
        <v>43</v>
      </c>
      <c r="AJ444" s="2">
        <v>0</v>
      </c>
      <c r="AK444" s="2">
        <v>20</v>
      </c>
      <c r="AL444" s="2"/>
      <c r="AM444" s="2">
        <v>0</v>
      </c>
      <c r="AN444" s="2">
        <v>0</v>
      </c>
      <c r="AO444" s="2"/>
      <c r="AP444" s="2"/>
      <c r="AQ444" s="2" t="s">
        <v>48</v>
      </c>
      <c r="AR444" s="2" t="s">
        <v>1548</v>
      </c>
      <c r="AS444" s="2" t="s">
        <v>1167</v>
      </c>
      <c r="AT444" s="2" t="s">
        <v>1168</v>
      </c>
      <c r="AU444" s="2" t="s">
        <v>1169</v>
      </c>
      <c r="AV444" s="2" t="s">
        <v>1170</v>
      </c>
      <c r="AW444" s="2">
        <v>4.3806202324000001</v>
      </c>
      <c r="AX444" s="2">
        <v>50.870136577300002</v>
      </c>
    </row>
    <row r="445" spans="2:50" x14ac:dyDescent="0.25">
      <c r="B445" s="2">
        <v>429</v>
      </c>
      <c r="C445" s="2">
        <v>2173152</v>
      </c>
      <c r="D445" s="2" t="s">
        <v>654</v>
      </c>
      <c r="E445" s="2">
        <v>0</v>
      </c>
      <c r="F445" s="2">
        <v>0</v>
      </c>
      <c r="G445" s="2">
        <v>0</v>
      </c>
      <c r="H445" s="2">
        <v>20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 s="2">
        <v>0</v>
      </c>
      <c r="O445" s="2">
        <v>0</v>
      </c>
      <c r="P445" s="2">
        <v>0</v>
      </c>
      <c r="Q445" s="2">
        <f>SUM(parking_data_1030[[#This Row],[Résidenti]:[Autres]])</f>
        <v>20</v>
      </c>
      <c r="R445" s="2">
        <v>0</v>
      </c>
      <c r="S445" s="2">
        <v>0</v>
      </c>
      <c r="T445" s="2" t="s">
        <v>43</v>
      </c>
      <c r="U445" s="2" t="s">
        <v>64</v>
      </c>
      <c r="V445" s="2" t="s">
        <v>45</v>
      </c>
      <c r="W445" s="2">
        <v>1</v>
      </c>
      <c r="X445" s="2">
        <v>1</v>
      </c>
      <c r="Y445" s="2">
        <v>1</v>
      </c>
      <c r="Z445" s="2">
        <v>0</v>
      </c>
      <c r="AA445" s="2">
        <v>0</v>
      </c>
      <c r="AB445" s="2"/>
      <c r="AC445" s="2">
        <v>0</v>
      </c>
      <c r="AD445" s="3">
        <v>46725</v>
      </c>
      <c r="AE445" s="2" t="s">
        <v>46</v>
      </c>
      <c r="AF445" s="2">
        <v>1040</v>
      </c>
      <c r="AG445" s="2">
        <v>11</v>
      </c>
      <c r="AH445" s="2" t="s">
        <v>280</v>
      </c>
      <c r="AI445" s="2" t="s">
        <v>43</v>
      </c>
      <c r="AJ445" s="2">
        <v>-9</v>
      </c>
      <c r="AK445" s="2">
        <v>20</v>
      </c>
      <c r="AL445" s="2"/>
      <c r="AM445" s="2">
        <v>0</v>
      </c>
      <c r="AN445" s="2">
        <v>1</v>
      </c>
      <c r="AO445" s="2"/>
      <c r="AP445" s="2" t="s">
        <v>655</v>
      </c>
      <c r="AQ445" s="2" t="s">
        <v>70</v>
      </c>
      <c r="AR445" s="2" t="s">
        <v>1166</v>
      </c>
      <c r="AS445" s="2" t="s">
        <v>1167</v>
      </c>
      <c r="AT445" s="2" t="s">
        <v>1168</v>
      </c>
      <c r="AU445" s="2" t="s">
        <v>1169</v>
      </c>
      <c r="AV445" s="2" t="s">
        <v>1170</v>
      </c>
      <c r="AW445" s="2">
        <v>4.3802002272999996</v>
      </c>
      <c r="AX445" s="2">
        <v>50.870268612300002</v>
      </c>
    </row>
    <row r="446" spans="2:50" x14ac:dyDescent="0.25">
      <c r="B446" s="2">
        <v>430</v>
      </c>
      <c r="C446" s="2">
        <v>3000271</v>
      </c>
      <c r="D446" s="2" t="s">
        <v>656</v>
      </c>
      <c r="E446" s="2">
        <v>0</v>
      </c>
      <c r="F446" s="2">
        <v>0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f>SUM(parking_data_1030[[#This Row],[Résidenti]:[Autres]])</f>
        <v>0</v>
      </c>
      <c r="R446" s="2">
        <v>0</v>
      </c>
      <c r="S446" s="2">
        <v>0</v>
      </c>
      <c r="T446" s="2" t="s">
        <v>43</v>
      </c>
      <c r="U446" s="2" t="s">
        <v>64</v>
      </c>
      <c r="V446" s="2" t="s">
        <v>59</v>
      </c>
      <c r="W446" s="2">
        <v>0</v>
      </c>
      <c r="X446" s="2">
        <v>0</v>
      </c>
      <c r="Y446" s="2">
        <v>0</v>
      </c>
      <c r="Z446" s="2">
        <v>1</v>
      </c>
      <c r="AA446" s="2">
        <v>0</v>
      </c>
      <c r="AB446" s="2"/>
      <c r="AC446" s="2">
        <v>0</v>
      </c>
      <c r="AD446" s="2"/>
      <c r="AE446" s="2" t="s">
        <v>46</v>
      </c>
      <c r="AF446" s="2">
        <v>0</v>
      </c>
      <c r="AG446" s="2">
        <v>0</v>
      </c>
      <c r="AH446" s="2" t="s">
        <v>657</v>
      </c>
      <c r="AI446" s="2" t="s">
        <v>79</v>
      </c>
      <c r="AJ446" s="2">
        <v>0</v>
      </c>
      <c r="AK446" s="2">
        <v>0</v>
      </c>
      <c r="AL446" s="2"/>
      <c r="AM446" s="2">
        <v>0</v>
      </c>
      <c r="AN446" s="2">
        <v>0</v>
      </c>
      <c r="AO446" s="2"/>
      <c r="AP446" s="2"/>
      <c r="AQ446" s="2" t="s">
        <v>48</v>
      </c>
      <c r="AR446" s="2" t="s">
        <v>1246</v>
      </c>
      <c r="AS446" s="2" t="s">
        <v>1167</v>
      </c>
      <c r="AT446" s="2" t="s">
        <v>1168</v>
      </c>
      <c r="AU446" s="2" t="s">
        <v>1169</v>
      </c>
      <c r="AV446" s="2" t="s">
        <v>1170</v>
      </c>
      <c r="AW446" s="2">
        <v>4.3792716049999996</v>
      </c>
      <c r="AX446" s="2">
        <v>50.870429624899998</v>
      </c>
    </row>
    <row r="447" spans="2:50" x14ac:dyDescent="0.25">
      <c r="B447" s="2">
        <v>330</v>
      </c>
      <c r="C447" s="2"/>
      <c r="D447" s="2" t="s">
        <v>813</v>
      </c>
      <c r="E447" s="2">
        <v>0</v>
      </c>
      <c r="F447" s="2">
        <v>0</v>
      </c>
      <c r="G447" s="2">
        <v>0</v>
      </c>
      <c r="H447" s="2">
        <v>0</v>
      </c>
      <c r="I447" s="2">
        <v>28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f>SUM(parking_data_1030[[#This Row],[Résidenti]:[Autres]])</f>
        <v>28</v>
      </c>
      <c r="R447" s="2">
        <v>23</v>
      </c>
      <c r="S447" s="2">
        <v>23</v>
      </c>
      <c r="T447" s="2" t="s">
        <v>43</v>
      </c>
      <c r="U447" s="2" t="s">
        <v>64</v>
      </c>
      <c r="V447" s="2" t="s">
        <v>45</v>
      </c>
      <c r="W447" s="2">
        <v>0</v>
      </c>
      <c r="X447" s="2">
        <v>1</v>
      </c>
      <c r="Y447" s="2">
        <v>1</v>
      </c>
      <c r="Z447" s="2">
        <v>0</v>
      </c>
      <c r="AA447" s="2">
        <v>0</v>
      </c>
      <c r="AB447" s="2"/>
      <c r="AC447" s="2">
        <v>0</v>
      </c>
      <c r="AD447" s="2"/>
      <c r="AE447" s="2" t="s">
        <v>106</v>
      </c>
      <c r="AF447" s="2">
        <v>0</v>
      </c>
      <c r="AG447" s="2">
        <v>0</v>
      </c>
      <c r="AH447" s="2" t="s">
        <v>814</v>
      </c>
      <c r="AI447" s="2" t="s">
        <v>43</v>
      </c>
      <c r="AJ447" s="2">
        <v>0</v>
      </c>
      <c r="AK447" s="2">
        <v>28</v>
      </c>
      <c r="AL447" s="2"/>
      <c r="AM447" s="2">
        <v>0</v>
      </c>
      <c r="AN447" s="2">
        <v>0</v>
      </c>
      <c r="AO447" s="2"/>
      <c r="AP447" s="2"/>
      <c r="AQ447" s="2" t="s">
        <v>48</v>
      </c>
      <c r="AR447" s="12" t="s">
        <v>1223</v>
      </c>
      <c r="AS447" s="2" t="s">
        <v>1432</v>
      </c>
      <c r="AT447" s="2" t="s">
        <v>1433</v>
      </c>
      <c r="AU447" s="2" t="s">
        <v>1424</v>
      </c>
      <c r="AV447" s="2" t="s">
        <v>1420</v>
      </c>
      <c r="AW447" s="2">
        <v>4.3750863140999998</v>
      </c>
      <c r="AX447" s="2">
        <v>50.856039182799996</v>
      </c>
    </row>
    <row r="448" spans="2:50" x14ac:dyDescent="0.25">
      <c r="B448" s="2">
        <v>340</v>
      </c>
      <c r="C448" s="2">
        <v>2146197</v>
      </c>
      <c r="D448" s="2" t="s">
        <v>336</v>
      </c>
      <c r="E448" s="2">
        <v>0</v>
      </c>
      <c r="F448" s="2">
        <v>0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f>SUM(parking_data_1030[[#This Row],[Résidenti]:[Autres]])</f>
        <v>0</v>
      </c>
      <c r="R448" s="2">
        <v>0</v>
      </c>
      <c r="S448" s="2">
        <v>0</v>
      </c>
      <c r="T448" s="2" t="s">
        <v>43</v>
      </c>
      <c r="U448" s="2" t="s">
        <v>44</v>
      </c>
      <c r="V448" s="2" t="s">
        <v>45</v>
      </c>
      <c r="W448" s="2">
        <v>0</v>
      </c>
      <c r="X448" s="2">
        <v>0</v>
      </c>
      <c r="Y448" s="2">
        <v>0</v>
      </c>
      <c r="Z448" s="2">
        <v>1</v>
      </c>
      <c r="AA448" s="2">
        <v>0</v>
      </c>
      <c r="AB448" s="2" t="s">
        <v>191</v>
      </c>
      <c r="AC448" s="2">
        <v>0</v>
      </c>
      <c r="AD448" s="2"/>
      <c r="AE448" s="2" t="s">
        <v>46</v>
      </c>
      <c r="AF448" s="2">
        <v>0</v>
      </c>
      <c r="AG448" s="2">
        <v>0</v>
      </c>
      <c r="AH448" s="2" t="s">
        <v>192</v>
      </c>
      <c r="AI448" s="2" t="s">
        <v>79</v>
      </c>
      <c r="AJ448" s="2">
        <v>0</v>
      </c>
      <c r="AK448" s="2">
        <v>0</v>
      </c>
      <c r="AL448" s="2" t="s">
        <v>193</v>
      </c>
      <c r="AM448" s="2">
        <v>0</v>
      </c>
      <c r="AN448" s="2">
        <v>0</v>
      </c>
      <c r="AO448" s="2"/>
      <c r="AP448" s="2"/>
      <c r="AQ448" s="2" t="s">
        <v>48</v>
      </c>
      <c r="AR448" s="2" t="s">
        <v>1431</v>
      </c>
      <c r="AS448" s="2" t="s">
        <v>1432</v>
      </c>
      <c r="AT448" s="2" t="s">
        <v>1433</v>
      </c>
      <c r="AU448" s="2" t="s">
        <v>1430</v>
      </c>
      <c r="AV448" s="2" t="s">
        <v>1420</v>
      </c>
      <c r="AW448" s="2">
        <v>4.3763796626999998</v>
      </c>
      <c r="AX448" s="2">
        <v>50.857777672499999</v>
      </c>
    </row>
    <row r="449" spans="2:50" x14ac:dyDescent="0.25">
      <c r="B449" s="2">
        <v>344</v>
      </c>
      <c r="C449" s="2">
        <v>2145837</v>
      </c>
      <c r="D449" s="2" t="s">
        <v>344</v>
      </c>
      <c r="E449" s="2">
        <v>0</v>
      </c>
      <c r="F449" s="2">
        <v>0</v>
      </c>
      <c r="G449" s="2">
        <v>0</v>
      </c>
      <c r="H449" s="2">
        <v>0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 s="2">
        <v>0</v>
      </c>
      <c r="O449" s="2">
        <v>30</v>
      </c>
      <c r="P449" s="2">
        <v>0</v>
      </c>
      <c r="Q449" s="2">
        <f>SUM(parking_data_1030[[#This Row],[Résidenti]:[Autres]])</f>
        <v>30</v>
      </c>
      <c r="R449" s="2">
        <v>30</v>
      </c>
      <c r="S449" s="2">
        <v>0</v>
      </c>
      <c r="T449" s="2" t="s">
        <v>43</v>
      </c>
      <c r="U449" s="2" t="s">
        <v>44</v>
      </c>
      <c r="V449" s="2" t="s">
        <v>45</v>
      </c>
      <c r="W449" s="2">
        <v>0</v>
      </c>
      <c r="X449" s="2">
        <v>0</v>
      </c>
      <c r="Y449" s="2">
        <v>0</v>
      </c>
      <c r="Z449" s="2">
        <v>1</v>
      </c>
      <c r="AA449" s="2">
        <v>0</v>
      </c>
      <c r="AB449" s="2" t="s">
        <v>345</v>
      </c>
      <c r="AC449" s="2">
        <v>0</v>
      </c>
      <c r="AD449" s="2"/>
      <c r="AE449" s="2" t="s">
        <v>46</v>
      </c>
      <c r="AF449" s="2">
        <v>0</v>
      </c>
      <c r="AG449" s="2">
        <v>0</v>
      </c>
      <c r="AH449" s="2" t="s">
        <v>346</v>
      </c>
      <c r="AI449" s="2" t="s">
        <v>43</v>
      </c>
      <c r="AJ449" s="2">
        <v>0</v>
      </c>
      <c r="AK449" s="2">
        <v>30</v>
      </c>
      <c r="AL449" s="2"/>
      <c r="AM449" s="2">
        <v>3</v>
      </c>
      <c r="AN449" s="2">
        <v>1</v>
      </c>
      <c r="AO449" s="2" t="s">
        <v>347</v>
      </c>
      <c r="AP449" s="2" t="s">
        <v>348</v>
      </c>
      <c r="AQ449" s="2" t="s">
        <v>70</v>
      </c>
      <c r="AR449" s="2" t="s">
        <v>1439</v>
      </c>
      <c r="AS449" s="2" t="s">
        <v>1432</v>
      </c>
      <c r="AT449" s="2" t="s">
        <v>1433</v>
      </c>
      <c r="AU449" s="2" t="s">
        <v>1436</v>
      </c>
      <c r="AV449" s="2" t="s">
        <v>1420</v>
      </c>
      <c r="AW449" s="2">
        <v>4.3769450422</v>
      </c>
      <c r="AX449" s="2">
        <v>50.859128750799997</v>
      </c>
    </row>
    <row r="450" spans="2:50" x14ac:dyDescent="0.25">
      <c r="B450" s="2">
        <v>345</v>
      </c>
      <c r="C450" s="2">
        <v>2146052</v>
      </c>
      <c r="D450" s="2" t="s">
        <v>316</v>
      </c>
      <c r="E450" s="2">
        <v>0</v>
      </c>
      <c r="F450" s="2">
        <v>0</v>
      </c>
      <c r="G450" s="2">
        <v>0</v>
      </c>
      <c r="H450" s="2">
        <v>0</v>
      </c>
      <c r="I450" s="2">
        <v>0</v>
      </c>
      <c r="J450" s="2">
        <v>14</v>
      </c>
      <c r="K450" s="2">
        <v>0</v>
      </c>
      <c r="L450" s="2">
        <v>0</v>
      </c>
      <c r="M450" s="2">
        <v>0</v>
      </c>
      <c r="N450" s="2">
        <v>0</v>
      </c>
      <c r="O450" s="2">
        <v>0</v>
      </c>
      <c r="P450" s="2">
        <v>0</v>
      </c>
      <c r="Q450" s="2">
        <f>SUM(parking_data_1030[[#This Row],[Résidenti]:[Autres]])</f>
        <v>14</v>
      </c>
      <c r="R450" s="2">
        <v>0</v>
      </c>
      <c r="S450" s="2">
        <v>0</v>
      </c>
      <c r="T450" s="2" t="s">
        <v>43</v>
      </c>
      <c r="U450" s="2" t="s">
        <v>44</v>
      </c>
      <c r="V450" s="2" t="s">
        <v>45</v>
      </c>
      <c r="W450" s="2">
        <v>1</v>
      </c>
      <c r="X450" s="2">
        <v>0</v>
      </c>
      <c r="Y450" s="2">
        <v>0</v>
      </c>
      <c r="Z450" s="2">
        <v>0</v>
      </c>
      <c r="AA450" s="2">
        <v>0</v>
      </c>
      <c r="AB450" s="2"/>
      <c r="AC450" s="2">
        <v>0</v>
      </c>
      <c r="AD450" s="2"/>
      <c r="AE450" s="2" t="s">
        <v>46</v>
      </c>
      <c r="AF450" s="2">
        <v>0</v>
      </c>
      <c r="AG450" s="2">
        <v>0</v>
      </c>
      <c r="AH450" s="2" t="s">
        <v>317</v>
      </c>
      <c r="AI450" s="2" t="s">
        <v>43</v>
      </c>
      <c r="AJ450" s="2">
        <v>0</v>
      </c>
      <c r="AK450" s="2">
        <v>14</v>
      </c>
      <c r="AL450" s="2"/>
      <c r="AM450" s="2">
        <v>0</v>
      </c>
      <c r="AN450" s="2">
        <v>0</v>
      </c>
      <c r="AO450" s="2"/>
      <c r="AP450" s="2"/>
      <c r="AQ450" s="2" t="s">
        <v>48</v>
      </c>
      <c r="AR450" s="2" t="s">
        <v>981</v>
      </c>
      <c r="AS450" s="2" t="s">
        <v>1432</v>
      </c>
      <c r="AT450" s="2" t="s">
        <v>1433</v>
      </c>
      <c r="AU450" s="2" t="s">
        <v>1440</v>
      </c>
      <c r="AV450" s="2" t="s">
        <v>1420</v>
      </c>
      <c r="AW450" s="2">
        <v>4.3760409510000002</v>
      </c>
      <c r="AX450" s="2">
        <v>50.857910021199999</v>
      </c>
    </row>
    <row r="451" spans="2:50" x14ac:dyDescent="0.25">
      <c r="B451" s="2">
        <v>346</v>
      </c>
      <c r="C451" s="2">
        <v>2146070</v>
      </c>
      <c r="D451" s="2" t="s">
        <v>318</v>
      </c>
      <c r="E451" s="2">
        <v>0</v>
      </c>
      <c r="F451" s="2">
        <v>0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f>SUM(parking_data_1030[[#This Row],[Résidenti]:[Autres]])</f>
        <v>0</v>
      </c>
      <c r="R451" s="2">
        <v>0</v>
      </c>
      <c r="S451" s="2">
        <v>0</v>
      </c>
      <c r="T451" s="2" t="s">
        <v>43</v>
      </c>
      <c r="U451" s="2" t="s">
        <v>44</v>
      </c>
      <c r="V451" s="2" t="s">
        <v>45</v>
      </c>
      <c r="W451" s="2">
        <v>0</v>
      </c>
      <c r="X451" s="2">
        <v>0</v>
      </c>
      <c r="Y451" s="2">
        <v>0</v>
      </c>
      <c r="Z451" s="2">
        <v>1</v>
      </c>
      <c r="AA451" s="2">
        <v>0</v>
      </c>
      <c r="AB451" s="2" t="s">
        <v>191</v>
      </c>
      <c r="AC451" s="2">
        <v>0</v>
      </c>
      <c r="AD451" s="2"/>
      <c r="AE451" s="2" t="s">
        <v>46</v>
      </c>
      <c r="AF451" s="2">
        <v>0</v>
      </c>
      <c r="AG451" s="2">
        <v>0</v>
      </c>
      <c r="AH451" s="2" t="s">
        <v>192</v>
      </c>
      <c r="AI451" s="2" t="s">
        <v>79</v>
      </c>
      <c r="AJ451" s="2">
        <v>0</v>
      </c>
      <c r="AK451" s="2">
        <v>0</v>
      </c>
      <c r="AL451" s="2" t="s">
        <v>193</v>
      </c>
      <c r="AM451" s="2">
        <v>0</v>
      </c>
      <c r="AN451" s="2">
        <v>0</v>
      </c>
      <c r="AO451" s="2"/>
      <c r="AP451" s="2"/>
      <c r="AQ451" s="2" t="s">
        <v>48</v>
      </c>
      <c r="AR451" s="2" t="s">
        <v>1441</v>
      </c>
      <c r="AS451" s="2" t="s">
        <v>1432</v>
      </c>
      <c r="AT451" s="2" t="s">
        <v>1433</v>
      </c>
      <c r="AU451" s="2" t="s">
        <v>1440</v>
      </c>
      <c r="AV451" s="2" t="s">
        <v>1420</v>
      </c>
      <c r="AW451" s="2">
        <v>4.3757917801000001</v>
      </c>
      <c r="AX451" s="2">
        <v>50.857573651300001</v>
      </c>
    </row>
    <row r="452" spans="2:50" x14ac:dyDescent="0.25">
      <c r="B452" s="2">
        <v>352</v>
      </c>
      <c r="C452" s="2">
        <v>2150420</v>
      </c>
      <c r="D452" s="2" t="s">
        <v>325</v>
      </c>
      <c r="E452" s="2">
        <v>78</v>
      </c>
      <c r="F452" s="2">
        <v>0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f>SUM(parking_data_1030[[#This Row],[Résidenti]:[Autres]])</f>
        <v>78</v>
      </c>
      <c r="R452" s="2">
        <v>0</v>
      </c>
      <c r="S452" s="2">
        <v>0</v>
      </c>
      <c r="T452" s="2" t="s">
        <v>43</v>
      </c>
      <c r="U452" s="2" t="s">
        <v>76</v>
      </c>
      <c r="V452" s="2" t="s">
        <v>45</v>
      </c>
      <c r="W452" s="2">
        <v>0</v>
      </c>
      <c r="X452" s="2">
        <v>0</v>
      </c>
      <c r="Y452" s="2">
        <v>0</v>
      </c>
      <c r="Z452" s="2">
        <v>1</v>
      </c>
      <c r="AA452" s="2">
        <v>0</v>
      </c>
      <c r="AB452" s="2" t="s">
        <v>326</v>
      </c>
      <c r="AC452" s="2">
        <v>0</v>
      </c>
      <c r="AD452" s="2"/>
      <c r="AE452" s="2" t="s">
        <v>46</v>
      </c>
      <c r="AF452" s="2">
        <v>0</v>
      </c>
      <c r="AG452" s="2">
        <v>0</v>
      </c>
      <c r="AH452" s="2" t="s">
        <v>327</v>
      </c>
      <c r="AI452" s="2" t="s">
        <v>43</v>
      </c>
      <c r="AJ452" s="2">
        <v>0</v>
      </c>
      <c r="AK452" s="2">
        <v>0</v>
      </c>
      <c r="AL452" s="2" t="s">
        <v>328</v>
      </c>
      <c r="AM452" s="2">
        <v>2</v>
      </c>
      <c r="AN452" s="2">
        <v>1</v>
      </c>
      <c r="AO452" s="2" t="s">
        <v>329</v>
      </c>
      <c r="AP452" s="2" t="s">
        <v>330</v>
      </c>
      <c r="AQ452" s="2" t="s">
        <v>70</v>
      </c>
      <c r="AR452" s="2" t="s">
        <v>1447</v>
      </c>
      <c r="AS452" s="2" t="s">
        <v>1432</v>
      </c>
      <c r="AT452" s="2" t="s">
        <v>1433</v>
      </c>
      <c r="AU452" s="2" t="s">
        <v>1448</v>
      </c>
      <c r="AV452" s="2" t="s">
        <v>1420</v>
      </c>
      <c r="AW452" s="2">
        <v>4.3775333585</v>
      </c>
      <c r="AX452" s="2">
        <v>50.859998757699998</v>
      </c>
    </row>
    <row r="453" spans="2:50" x14ac:dyDescent="0.25">
      <c r="B453" s="2">
        <v>353</v>
      </c>
      <c r="C453" s="2">
        <v>2150414</v>
      </c>
      <c r="D453" s="2" t="s">
        <v>427</v>
      </c>
      <c r="E453" s="2">
        <v>0</v>
      </c>
      <c r="F453" s="2">
        <v>0</v>
      </c>
      <c r="G453" s="2">
        <v>0</v>
      </c>
      <c r="H453" s="2">
        <v>0</v>
      </c>
      <c r="I453" s="2">
        <v>25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f>SUM(parking_data_1030[[#This Row],[Résidenti]:[Autres]])</f>
        <v>25</v>
      </c>
      <c r="R453" s="2">
        <v>0</v>
      </c>
      <c r="S453" s="2">
        <v>0</v>
      </c>
      <c r="T453" s="2" t="s">
        <v>43</v>
      </c>
      <c r="U453" s="2" t="s">
        <v>44</v>
      </c>
      <c r="V453" s="2" t="s">
        <v>45</v>
      </c>
      <c r="W453" s="2">
        <v>0</v>
      </c>
      <c r="X453" s="2">
        <v>1</v>
      </c>
      <c r="Y453" s="2">
        <v>0</v>
      </c>
      <c r="Z453" s="2">
        <v>1</v>
      </c>
      <c r="AA453" s="2">
        <v>0</v>
      </c>
      <c r="AB453" s="2" t="s">
        <v>428</v>
      </c>
      <c r="AC453" s="2">
        <v>0</v>
      </c>
      <c r="AD453" s="2"/>
      <c r="AE453" s="2" t="s">
        <v>46</v>
      </c>
      <c r="AF453" s="2">
        <v>0</v>
      </c>
      <c r="AG453" s="2">
        <v>0</v>
      </c>
      <c r="AH453" s="2"/>
      <c r="AI453" s="2" t="s">
        <v>43</v>
      </c>
      <c r="AJ453" s="2">
        <v>0</v>
      </c>
      <c r="AK453" s="2">
        <v>25</v>
      </c>
      <c r="AL453" s="2"/>
      <c r="AM453" s="2">
        <v>0</v>
      </c>
      <c r="AN453" s="2">
        <v>0</v>
      </c>
      <c r="AO453" s="2"/>
      <c r="AP453" s="2"/>
      <c r="AQ453" s="2" t="s">
        <v>48</v>
      </c>
      <c r="AR453" s="2" t="s">
        <v>930</v>
      </c>
      <c r="AS453" s="2" t="s">
        <v>1432</v>
      </c>
      <c r="AT453" s="2" t="s">
        <v>1433</v>
      </c>
      <c r="AU453" s="2" t="s">
        <v>1448</v>
      </c>
      <c r="AV453" s="2" t="s">
        <v>1420</v>
      </c>
      <c r="AW453" s="2">
        <v>4.3774564783000001</v>
      </c>
      <c r="AX453" s="2">
        <v>50.859825575800002</v>
      </c>
    </row>
    <row r="454" spans="2:50" x14ac:dyDescent="0.25">
      <c r="B454" s="2">
        <v>356</v>
      </c>
      <c r="C454" s="2">
        <v>153721702</v>
      </c>
      <c r="D454" s="2" t="s">
        <v>431</v>
      </c>
      <c r="E454" s="2">
        <v>12</v>
      </c>
      <c r="F454" s="2">
        <v>0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f>SUM(parking_data_1030[[#This Row],[Résidenti]:[Autres]])</f>
        <v>12</v>
      </c>
      <c r="R454" s="2">
        <v>0</v>
      </c>
      <c r="S454" s="2">
        <v>0</v>
      </c>
      <c r="T454" s="2" t="s">
        <v>43</v>
      </c>
      <c r="U454" s="2" t="s">
        <v>76</v>
      </c>
      <c r="V454" s="2" t="s">
        <v>45</v>
      </c>
      <c r="W454" s="2">
        <v>1</v>
      </c>
      <c r="X454" s="2">
        <v>0</v>
      </c>
      <c r="Y454" s="2">
        <v>0</v>
      </c>
      <c r="Z454" s="2">
        <v>0</v>
      </c>
      <c r="AA454" s="2">
        <v>0</v>
      </c>
      <c r="AB454" s="2"/>
      <c r="AC454" s="2">
        <v>0</v>
      </c>
      <c r="AD454" s="2"/>
      <c r="AE454" s="2" t="s">
        <v>46</v>
      </c>
      <c r="AF454" s="2">
        <v>0</v>
      </c>
      <c r="AG454" s="2">
        <v>0</v>
      </c>
      <c r="AH454" s="2" t="s">
        <v>432</v>
      </c>
      <c r="AI454" s="2" t="s">
        <v>43</v>
      </c>
      <c r="AJ454" s="2">
        <v>0</v>
      </c>
      <c r="AK454" s="2">
        <v>0</v>
      </c>
      <c r="AL454" s="2"/>
      <c r="AM454" s="2">
        <v>0</v>
      </c>
      <c r="AN454" s="2">
        <v>0</v>
      </c>
      <c r="AO454" s="2"/>
      <c r="AP454" s="2"/>
      <c r="AQ454" s="2" t="s">
        <v>48</v>
      </c>
      <c r="AR454" s="2" t="s">
        <v>1452</v>
      </c>
      <c r="AS454" s="2" t="s">
        <v>1432</v>
      </c>
      <c r="AT454" s="2" t="s">
        <v>1433</v>
      </c>
      <c r="AU454" s="2" t="s">
        <v>1453</v>
      </c>
      <c r="AV454" s="2" t="s">
        <v>1420</v>
      </c>
      <c r="AW454" s="2">
        <v>4.3791253577000004</v>
      </c>
      <c r="AX454" s="2">
        <v>50.861480672500001</v>
      </c>
    </row>
    <row r="455" spans="2:50" x14ac:dyDescent="0.25">
      <c r="B455" s="2">
        <v>358</v>
      </c>
      <c r="C455" s="2">
        <v>2150048</v>
      </c>
      <c r="D455" s="2" t="s">
        <v>435</v>
      </c>
      <c r="E455" s="2">
        <v>11</v>
      </c>
      <c r="F455" s="2">
        <v>0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f>SUM(parking_data_1030[[#This Row],[Résidenti]:[Autres]])</f>
        <v>11</v>
      </c>
      <c r="R455" s="2">
        <v>0</v>
      </c>
      <c r="S455" s="2">
        <v>0</v>
      </c>
      <c r="T455" s="2" t="s">
        <v>43</v>
      </c>
      <c r="U455" s="2" t="s">
        <v>44</v>
      </c>
      <c r="V455" s="2" t="s">
        <v>45</v>
      </c>
      <c r="W455" s="2">
        <v>0</v>
      </c>
      <c r="X455" s="2">
        <v>1</v>
      </c>
      <c r="Y455" s="2">
        <v>0</v>
      </c>
      <c r="Z455" s="2">
        <v>1</v>
      </c>
      <c r="AA455" s="2">
        <v>0</v>
      </c>
      <c r="AB455" s="2"/>
      <c r="AC455" s="2">
        <v>0</v>
      </c>
      <c r="AD455" s="2"/>
      <c r="AE455" s="2" t="s">
        <v>46</v>
      </c>
      <c r="AF455" s="2">
        <v>0</v>
      </c>
      <c r="AG455" s="2">
        <v>0</v>
      </c>
      <c r="AH455" s="2" t="s">
        <v>120</v>
      </c>
      <c r="AI455" s="2" t="s">
        <v>43</v>
      </c>
      <c r="AJ455" s="2">
        <v>0</v>
      </c>
      <c r="AK455" s="2">
        <v>0</v>
      </c>
      <c r="AL455" s="2"/>
      <c r="AM455" s="2">
        <v>0</v>
      </c>
      <c r="AN455" s="2">
        <v>0</v>
      </c>
      <c r="AO455" s="2"/>
      <c r="AP455" s="2"/>
      <c r="AQ455" s="2" t="s">
        <v>48</v>
      </c>
      <c r="AR455" s="2" t="s">
        <v>1193</v>
      </c>
      <c r="AS455" s="2" t="s">
        <v>1432</v>
      </c>
      <c r="AT455" s="2" t="s">
        <v>1433</v>
      </c>
      <c r="AU455" s="2" t="s">
        <v>1453</v>
      </c>
      <c r="AV455" s="2" t="s">
        <v>1420</v>
      </c>
      <c r="AW455" s="2">
        <v>4.3795187865000003</v>
      </c>
      <c r="AX455" s="2">
        <v>50.862021799499999</v>
      </c>
    </row>
    <row r="456" spans="2:50" x14ac:dyDescent="0.25">
      <c r="B456" s="2">
        <v>431</v>
      </c>
      <c r="C456" s="2">
        <v>2134981</v>
      </c>
      <c r="D456" s="2" t="s">
        <v>658</v>
      </c>
      <c r="E456" s="2">
        <v>0</v>
      </c>
      <c r="F456" s="2">
        <v>0</v>
      </c>
      <c r="G456" s="2">
        <v>0</v>
      </c>
      <c r="H456" s="2">
        <v>0</v>
      </c>
      <c r="I456" s="2">
        <v>36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f>SUM(parking_data_1030[[#This Row],[Résidenti]:[Autres]])</f>
        <v>36</v>
      </c>
      <c r="R456" s="2">
        <v>0</v>
      </c>
      <c r="S456" s="2">
        <v>0</v>
      </c>
      <c r="T456" s="2" t="s">
        <v>43</v>
      </c>
      <c r="U456" s="2" t="s">
        <v>64</v>
      </c>
      <c r="V456" s="2" t="s">
        <v>45</v>
      </c>
      <c r="W456" s="2">
        <v>1</v>
      </c>
      <c r="X456" s="2">
        <v>1</v>
      </c>
      <c r="Y456" s="2">
        <v>1</v>
      </c>
      <c r="Z456" s="2">
        <v>0</v>
      </c>
      <c r="AA456" s="2">
        <v>1</v>
      </c>
      <c r="AB456" s="2"/>
      <c r="AC456" s="2">
        <v>0</v>
      </c>
      <c r="AD456" s="3">
        <v>46732</v>
      </c>
      <c r="AE456" s="2" t="s">
        <v>46</v>
      </c>
      <c r="AF456" s="2">
        <v>0</v>
      </c>
      <c r="AG456" s="2">
        <v>0</v>
      </c>
      <c r="AH456" s="2"/>
      <c r="AI456" s="2" t="s">
        <v>43</v>
      </c>
      <c r="AJ456" s="2">
        <v>0</v>
      </c>
      <c r="AK456" s="2">
        <v>36</v>
      </c>
      <c r="AL456" s="2"/>
      <c r="AM456" s="2">
        <v>2</v>
      </c>
      <c r="AN456" s="2">
        <v>0</v>
      </c>
      <c r="AO456" s="2" t="s">
        <v>659</v>
      </c>
      <c r="AP456" s="2"/>
      <c r="AQ456" s="2" t="s">
        <v>70</v>
      </c>
      <c r="AR456" s="2" t="s">
        <v>1551</v>
      </c>
      <c r="AS456" s="2" t="s">
        <v>1432</v>
      </c>
      <c r="AT456" s="2" t="s">
        <v>1433</v>
      </c>
      <c r="AU456" s="2" t="s">
        <v>1552</v>
      </c>
      <c r="AV456" s="2" t="s">
        <v>1420</v>
      </c>
      <c r="AW456" s="2">
        <v>4.3777980255999998</v>
      </c>
      <c r="AX456" s="2">
        <v>50.860731125000001</v>
      </c>
    </row>
    <row r="457" spans="2:50" x14ac:dyDescent="0.25">
      <c r="B457" s="2">
        <v>70</v>
      </c>
      <c r="C457" s="2">
        <v>2176777</v>
      </c>
      <c r="D457" s="2" t="s">
        <v>715</v>
      </c>
      <c r="E457" s="2">
        <v>13</v>
      </c>
      <c r="F457" s="2">
        <v>0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f>SUM(parking_data_1030[[#This Row],[Résidenti]:[Autres]])</f>
        <v>13</v>
      </c>
      <c r="R457" s="2">
        <v>0</v>
      </c>
      <c r="S457" s="2">
        <v>0</v>
      </c>
      <c r="T457" s="2" t="s">
        <v>43</v>
      </c>
      <c r="U457" s="2" t="s">
        <v>44</v>
      </c>
      <c r="V457" s="2" t="s">
        <v>45</v>
      </c>
      <c r="W457" s="2">
        <v>1</v>
      </c>
      <c r="X457" s="2">
        <v>1</v>
      </c>
      <c r="Y457" s="2">
        <v>0</v>
      </c>
      <c r="Z457" s="2">
        <v>0</v>
      </c>
      <c r="AA457" s="2">
        <v>0</v>
      </c>
      <c r="AB457" s="2"/>
      <c r="AC457" s="2">
        <v>0</v>
      </c>
      <c r="AD457" s="3">
        <v>48763</v>
      </c>
      <c r="AE457" s="2" t="s">
        <v>46</v>
      </c>
      <c r="AF457" s="2">
        <v>0</v>
      </c>
      <c r="AG457" s="2">
        <v>0</v>
      </c>
      <c r="AH457" s="2"/>
      <c r="AI457" s="2" t="s">
        <v>43</v>
      </c>
      <c r="AJ457" s="2">
        <v>0</v>
      </c>
      <c r="AK457" s="2">
        <v>0</v>
      </c>
      <c r="AL457" s="2"/>
      <c r="AM457" s="2">
        <v>0</v>
      </c>
      <c r="AN457" s="2">
        <v>0</v>
      </c>
      <c r="AO457" s="2"/>
      <c r="AP457" s="2"/>
      <c r="AQ457" s="2" t="s">
        <v>48</v>
      </c>
      <c r="AR457" s="2" t="s">
        <v>1004</v>
      </c>
      <c r="AS457" s="2" t="s">
        <v>1005</v>
      </c>
      <c r="AT457" s="2" t="s">
        <v>1006</v>
      </c>
      <c r="AU457" s="2" t="s">
        <v>1007</v>
      </c>
      <c r="AV457" s="2" t="s">
        <v>1000</v>
      </c>
      <c r="AW457" s="2">
        <v>4.3884864480000001</v>
      </c>
      <c r="AX457" s="2">
        <v>50.868732863600002</v>
      </c>
    </row>
    <row r="458" spans="2:50" x14ac:dyDescent="0.25">
      <c r="B458" s="2">
        <v>155</v>
      </c>
      <c r="C458" s="2">
        <v>1166449</v>
      </c>
      <c r="D458" s="2" t="s">
        <v>230</v>
      </c>
      <c r="E458" s="2">
        <v>28</v>
      </c>
      <c r="F458" s="2">
        <v>0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f>SUM(parking_data_1030[[#This Row],[Résidenti]:[Autres]])</f>
        <v>28</v>
      </c>
      <c r="R458" s="2">
        <v>0</v>
      </c>
      <c r="S458" s="2">
        <v>0</v>
      </c>
      <c r="T458" s="2" t="s">
        <v>43</v>
      </c>
      <c r="U458" s="2" t="s">
        <v>54</v>
      </c>
      <c r="V458" s="2" t="s">
        <v>45</v>
      </c>
      <c r="W458" s="2">
        <v>0</v>
      </c>
      <c r="X458" s="2">
        <v>1</v>
      </c>
      <c r="Y458" s="2">
        <v>0</v>
      </c>
      <c r="Z458" s="2">
        <v>1</v>
      </c>
      <c r="AA458" s="2">
        <v>0</v>
      </c>
      <c r="AB458" s="2"/>
      <c r="AC458" s="2">
        <v>0</v>
      </c>
      <c r="AD458" s="2"/>
      <c r="AE458" s="2" t="s">
        <v>106</v>
      </c>
      <c r="AF458" s="2">
        <v>0</v>
      </c>
      <c r="AG458" s="2">
        <v>0</v>
      </c>
      <c r="AH458" s="2" t="s">
        <v>55</v>
      </c>
      <c r="AI458" s="2" t="s">
        <v>43</v>
      </c>
      <c r="AJ458" s="2">
        <v>0</v>
      </c>
      <c r="AK458" s="2">
        <v>0</v>
      </c>
      <c r="AL458" s="2"/>
      <c r="AM458" s="2">
        <v>0</v>
      </c>
      <c r="AN458" s="2">
        <v>0</v>
      </c>
      <c r="AO458" s="2"/>
      <c r="AP458" s="2"/>
      <c r="AQ458" s="2" t="s">
        <v>48</v>
      </c>
      <c r="AR458" s="2" t="s">
        <v>919</v>
      </c>
      <c r="AS458" s="2" t="s">
        <v>1158</v>
      </c>
      <c r="AT458" s="2" t="s">
        <v>1159</v>
      </c>
      <c r="AU458" s="2" t="s">
        <v>1160</v>
      </c>
      <c r="AV458" s="2" t="s">
        <v>1157</v>
      </c>
      <c r="AW458" s="2">
        <v>4.4086183642999996</v>
      </c>
      <c r="AX458" s="2">
        <v>50.848895715099999</v>
      </c>
    </row>
    <row r="459" spans="2:50" x14ac:dyDescent="0.25">
      <c r="B459" s="2">
        <v>15</v>
      </c>
      <c r="C459" s="2">
        <v>3000046</v>
      </c>
      <c r="D459" s="2" t="s">
        <v>73</v>
      </c>
      <c r="E459" s="2">
        <v>12</v>
      </c>
      <c r="F459" s="2">
        <v>0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f>SUM(parking_data_1030[[#This Row],[Résidenti]:[Autres]])</f>
        <v>12</v>
      </c>
      <c r="R459" s="2">
        <v>0</v>
      </c>
      <c r="S459" s="2">
        <v>0</v>
      </c>
      <c r="T459" s="2" t="s">
        <v>43</v>
      </c>
      <c r="U459" s="2" t="s">
        <v>44</v>
      </c>
      <c r="V459" s="2" t="s">
        <v>59</v>
      </c>
      <c r="W459" s="2">
        <v>0</v>
      </c>
      <c r="X459" s="2">
        <v>1</v>
      </c>
      <c r="Y459" s="2">
        <v>0</v>
      </c>
      <c r="Z459" s="2">
        <v>1</v>
      </c>
      <c r="AA459" s="2">
        <v>0</v>
      </c>
      <c r="AB459" s="2"/>
      <c r="AC459" s="2">
        <v>0</v>
      </c>
      <c r="AD459" s="2"/>
      <c r="AE459" s="2" t="s">
        <v>52</v>
      </c>
      <c r="AF459" s="2">
        <v>0</v>
      </c>
      <c r="AG459" s="2">
        <v>0</v>
      </c>
      <c r="AH459" s="2" t="s">
        <v>74</v>
      </c>
      <c r="AI459" s="2" t="s">
        <v>43</v>
      </c>
      <c r="AJ459" s="2">
        <v>0</v>
      </c>
      <c r="AK459" s="2">
        <v>0</v>
      </c>
      <c r="AL459" s="2"/>
      <c r="AM459" s="2">
        <v>0</v>
      </c>
      <c r="AN459" s="2">
        <v>0</v>
      </c>
      <c r="AO459" s="2"/>
      <c r="AP459" s="2"/>
      <c r="AQ459" s="2" t="s">
        <v>48</v>
      </c>
      <c r="AR459" s="2" t="s">
        <v>853</v>
      </c>
      <c r="AS459" s="2" t="s">
        <v>872</v>
      </c>
      <c r="AT459" s="2" t="s">
        <v>873</v>
      </c>
      <c r="AU459" s="2" t="s">
        <v>871</v>
      </c>
      <c r="AV459" s="2" t="s">
        <v>835</v>
      </c>
      <c r="AW459" s="2">
        <v>4.3845389337</v>
      </c>
      <c r="AX459" s="2">
        <v>50.879577606200002</v>
      </c>
    </row>
    <row r="460" spans="2:50" x14ac:dyDescent="0.25">
      <c r="B460" s="2">
        <v>16</v>
      </c>
      <c r="C460" s="2">
        <v>2178039</v>
      </c>
      <c r="D460" s="2" t="s">
        <v>775</v>
      </c>
      <c r="E460" s="2">
        <v>17</v>
      </c>
      <c r="F460" s="2">
        <v>0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f>SUM(parking_data_1030[[#This Row],[Résidenti]:[Autres]])</f>
        <v>17</v>
      </c>
      <c r="R460" s="2">
        <v>0</v>
      </c>
      <c r="S460" s="2">
        <v>0</v>
      </c>
      <c r="T460" s="2" t="s">
        <v>43</v>
      </c>
      <c r="U460" s="2" t="s">
        <v>44</v>
      </c>
      <c r="V460" s="2" t="s">
        <v>45</v>
      </c>
      <c r="W460" s="2">
        <v>1</v>
      </c>
      <c r="X460" s="2">
        <v>0</v>
      </c>
      <c r="Y460" s="2">
        <v>0</v>
      </c>
      <c r="Z460" s="2">
        <v>0</v>
      </c>
      <c r="AA460" s="2">
        <v>0</v>
      </c>
      <c r="AB460" s="2"/>
      <c r="AC460" s="2">
        <v>0</v>
      </c>
      <c r="AD460" s="2"/>
      <c r="AE460" s="2" t="s">
        <v>52</v>
      </c>
      <c r="AF460" s="2">
        <v>0</v>
      </c>
      <c r="AG460" s="2">
        <v>0</v>
      </c>
      <c r="AH460" s="2" t="s">
        <v>776</v>
      </c>
      <c r="AI460" s="2" t="s">
        <v>43</v>
      </c>
      <c r="AJ460" s="2">
        <v>0</v>
      </c>
      <c r="AK460" s="2">
        <v>0</v>
      </c>
      <c r="AL460" s="2"/>
      <c r="AM460" s="2">
        <v>0</v>
      </c>
      <c r="AN460" s="2">
        <v>0</v>
      </c>
      <c r="AO460" s="2"/>
      <c r="AP460" s="2"/>
      <c r="AQ460" s="2" t="s">
        <v>48</v>
      </c>
      <c r="AR460" s="2" t="s">
        <v>874</v>
      </c>
      <c r="AS460" s="2" t="s">
        <v>872</v>
      </c>
      <c r="AT460" s="2" t="s">
        <v>873</v>
      </c>
      <c r="AU460" s="2" t="s">
        <v>871</v>
      </c>
      <c r="AV460" s="2" t="s">
        <v>835</v>
      </c>
      <c r="AW460" s="2">
        <v>4.3850522294000003</v>
      </c>
      <c r="AX460" s="2">
        <v>50.879184653199999</v>
      </c>
    </row>
    <row r="461" spans="2:50" x14ac:dyDescent="0.25">
      <c r="B461" s="2">
        <v>18</v>
      </c>
      <c r="C461" s="2">
        <v>2132755</v>
      </c>
      <c r="D461" s="2" t="s">
        <v>782</v>
      </c>
      <c r="E461" s="2">
        <v>13</v>
      </c>
      <c r="F461" s="2">
        <v>0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f>SUM(parking_data_1030[[#This Row],[Résidenti]:[Autres]])</f>
        <v>13</v>
      </c>
      <c r="R461" s="2">
        <v>0</v>
      </c>
      <c r="S461" s="2">
        <v>0</v>
      </c>
      <c r="T461" s="2" t="s">
        <v>43</v>
      </c>
      <c r="U461" s="2" t="s">
        <v>76</v>
      </c>
      <c r="V461" s="2" t="s">
        <v>45</v>
      </c>
      <c r="W461" s="2">
        <v>1</v>
      </c>
      <c r="X461" s="2">
        <v>1</v>
      </c>
      <c r="Y461" s="2">
        <v>0</v>
      </c>
      <c r="Z461" s="2">
        <v>0</v>
      </c>
      <c r="AA461" s="2">
        <v>0</v>
      </c>
      <c r="AB461" s="2" t="s">
        <v>60</v>
      </c>
      <c r="AC461" s="2">
        <v>0</v>
      </c>
      <c r="AD461" s="2"/>
      <c r="AE461" s="2" t="s">
        <v>46</v>
      </c>
      <c r="AF461" s="2">
        <v>0</v>
      </c>
      <c r="AG461" s="2">
        <v>0</v>
      </c>
      <c r="AH461" s="2"/>
      <c r="AI461" s="2" t="s">
        <v>43</v>
      </c>
      <c r="AJ461" s="2">
        <v>0</v>
      </c>
      <c r="AK461" s="2">
        <v>0</v>
      </c>
      <c r="AL461" s="2"/>
      <c r="AM461" s="2">
        <v>0</v>
      </c>
      <c r="AN461" s="2">
        <v>0</v>
      </c>
      <c r="AO461" s="2"/>
      <c r="AP461" s="2"/>
      <c r="AQ461" s="2" t="s">
        <v>48</v>
      </c>
      <c r="AR461" s="2" t="s">
        <v>879</v>
      </c>
      <c r="AS461" s="2" t="s">
        <v>872</v>
      </c>
      <c r="AT461" s="2" t="s">
        <v>873</v>
      </c>
      <c r="AU461" s="2" t="s">
        <v>880</v>
      </c>
      <c r="AV461" s="2" t="s">
        <v>835</v>
      </c>
      <c r="AW461" s="2">
        <v>4.3863988973000003</v>
      </c>
      <c r="AX461" s="2">
        <v>50.8783143032</v>
      </c>
    </row>
    <row r="462" spans="2:50" x14ac:dyDescent="0.25">
      <c r="B462" s="2">
        <v>119</v>
      </c>
      <c r="C462" s="2">
        <v>10003616</v>
      </c>
      <c r="D462" s="2" t="s">
        <v>739</v>
      </c>
      <c r="E462" s="2">
        <v>0</v>
      </c>
      <c r="F462" s="2">
        <v>0</v>
      </c>
      <c r="G462" s="2">
        <v>0</v>
      </c>
      <c r="H462" s="2">
        <v>0</v>
      </c>
      <c r="I462" s="2">
        <v>0</v>
      </c>
      <c r="J462" s="2">
        <v>0</v>
      </c>
      <c r="K462" s="2">
        <v>15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f>SUM(parking_data_1030[[#This Row],[Résidenti]:[Autres]])</f>
        <v>15</v>
      </c>
      <c r="R462" s="2">
        <v>0</v>
      </c>
      <c r="S462" s="2">
        <v>0</v>
      </c>
      <c r="T462" s="2" t="s">
        <v>43</v>
      </c>
      <c r="U462" s="2" t="s">
        <v>64</v>
      </c>
      <c r="V462" s="2" t="s">
        <v>59</v>
      </c>
      <c r="W462" s="2">
        <v>1</v>
      </c>
      <c r="X462" s="2">
        <v>0</v>
      </c>
      <c r="Y462" s="2">
        <v>0</v>
      </c>
      <c r="Z462" s="2">
        <v>0</v>
      </c>
      <c r="AA462" s="2">
        <v>0</v>
      </c>
      <c r="AB462" s="2"/>
      <c r="AC462" s="2">
        <v>0</v>
      </c>
      <c r="AD462" s="2"/>
      <c r="AE462" s="2" t="s">
        <v>106</v>
      </c>
      <c r="AF462" s="2">
        <v>0</v>
      </c>
      <c r="AG462" s="2">
        <v>0</v>
      </c>
      <c r="AH462" s="2"/>
      <c r="AI462" s="2" t="s">
        <v>43</v>
      </c>
      <c r="AJ462" s="2">
        <v>0</v>
      </c>
      <c r="AK462" s="2">
        <v>15</v>
      </c>
      <c r="AL462" s="2"/>
      <c r="AM462" s="2">
        <v>0</v>
      </c>
      <c r="AN462" s="2">
        <v>0</v>
      </c>
      <c r="AO462" s="2"/>
      <c r="AP462" s="2"/>
      <c r="AQ462" s="2" t="s">
        <v>48</v>
      </c>
      <c r="AR462" s="58" t="s">
        <v>1459</v>
      </c>
      <c r="AS462" s="56" t="s">
        <v>1729</v>
      </c>
      <c r="AT462" s="56" t="s">
        <v>1737</v>
      </c>
      <c r="AU462" s="2" t="s">
        <v>1094</v>
      </c>
      <c r="AV462" s="2" t="s">
        <v>1058</v>
      </c>
      <c r="AW462" s="2">
        <v>4.4022480644000002</v>
      </c>
      <c r="AX462" s="2">
        <v>50.859965621999997</v>
      </c>
    </row>
    <row r="463" spans="2:50" x14ac:dyDescent="0.25">
      <c r="B463" s="2">
        <v>120</v>
      </c>
      <c r="C463" s="2">
        <v>2134528</v>
      </c>
      <c r="D463" s="2" t="s">
        <v>717</v>
      </c>
      <c r="E463" s="2">
        <v>0</v>
      </c>
      <c r="F463" s="2">
        <v>0</v>
      </c>
      <c r="G463" s="2">
        <v>0</v>
      </c>
      <c r="H463" s="2">
        <v>0</v>
      </c>
      <c r="I463" s="2">
        <v>154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f>SUM(parking_data_1030[[#This Row],[Résidenti]:[Autres]])</f>
        <v>154</v>
      </c>
      <c r="R463" s="2">
        <v>0</v>
      </c>
      <c r="S463" s="2">
        <v>0</v>
      </c>
      <c r="T463" s="2" t="s">
        <v>43</v>
      </c>
      <c r="U463" s="2" t="s">
        <v>58</v>
      </c>
      <c r="V463" s="2" t="s">
        <v>45</v>
      </c>
      <c r="W463" s="2">
        <v>1</v>
      </c>
      <c r="X463" s="2">
        <v>1</v>
      </c>
      <c r="Y463" s="2">
        <v>1</v>
      </c>
      <c r="Z463" s="2">
        <v>0</v>
      </c>
      <c r="AA463" s="2">
        <v>1</v>
      </c>
      <c r="AB463" s="2"/>
      <c r="AC463" s="2">
        <v>0</v>
      </c>
      <c r="AD463" s="2"/>
      <c r="AE463" s="2" t="s">
        <v>106</v>
      </c>
      <c r="AF463" s="2">
        <v>0</v>
      </c>
      <c r="AG463" s="2">
        <v>0</v>
      </c>
      <c r="AH463" s="2"/>
      <c r="AI463" s="2" t="s">
        <v>43</v>
      </c>
      <c r="AJ463" s="2">
        <v>0</v>
      </c>
      <c r="AK463" s="2">
        <v>154</v>
      </c>
      <c r="AL463" s="2"/>
      <c r="AM463" s="2">
        <v>0</v>
      </c>
      <c r="AN463" s="2">
        <v>0</v>
      </c>
      <c r="AO463" s="2"/>
      <c r="AP463" s="2"/>
      <c r="AQ463" s="2" t="s">
        <v>48</v>
      </c>
      <c r="AR463" s="58" t="s">
        <v>1745</v>
      </c>
      <c r="AS463" s="56" t="s">
        <v>1096</v>
      </c>
      <c r="AT463" s="56" t="s">
        <v>1097</v>
      </c>
      <c r="AU463" s="2" t="s">
        <v>1098</v>
      </c>
      <c r="AV463" s="2" t="s">
        <v>1058</v>
      </c>
      <c r="AW463" s="2">
        <v>4.4047740182000004</v>
      </c>
      <c r="AX463" s="2">
        <v>50.8587512868</v>
      </c>
    </row>
    <row r="464" spans="2:50" x14ac:dyDescent="0.25">
      <c r="B464" s="2">
        <v>121</v>
      </c>
      <c r="C464" s="2">
        <v>2127087</v>
      </c>
      <c r="D464" s="2" t="s">
        <v>718</v>
      </c>
      <c r="E464" s="2">
        <v>21</v>
      </c>
      <c r="F464" s="2">
        <v>0</v>
      </c>
      <c r="G464" s="2">
        <v>0</v>
      </c>
      <c r="H464" s="2">
        <v>0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 s="2">
        <v>0</v>
      </c>
      <c r="O464" s="2">
        <v>0</v>
      </c>
      <c r="P464" s="2">
        <v>0</v>
      </c>
      <c r="Q464" s="2">
        <f>SUM(parking_data_1030[[#This Row],[Résidenti]:[Autres]])</f>
        <v>21</v>
      </c>
      <c r="R464" s="2">
        <v>0</v>
      </c>
      <c r="S464" s="2">
        <v>0</v>
      </c>
      <c r="T464" s="2" t="s">
        <v>43</v>
      </c>
      <c r="U464" s="2" t="s">
        <v>54</v>
      </c>
      <c r="V464" s="2" t="s">
        <v>45</v>
      </c>
      <c r="W464" s="2">
        <v>1</v>
      </c>
      <c r="X464" s="2">
        <v>1</v>
      </c>
      <c r="Y464" s="2">
        <v>0</v>
      </c>
      <c r="Z464" s="2">
        <v>0</v>
      </c>
      <c r="AA464" s="2">
        <v>0</v>
      </c>
      <c r="AB464" s="2"/>
      <c r="AC464" s="2">
        <v>0</v>
      </c>
      <c r="AD464" s="2"/>
      <c r="AE464" s="2" t="s">
        <v>46</v>
      </c>
      <c r="AF464" s="2">
        <v>0</v>
      </c>
      <c r="AG464" s="2">
        <v>0</v>
      </c>
      <c r="AH464" s="2"/>
      <c r="AI464" s="2" t="s">
        <v>43</v>
      </c>
      <c r="AJ464" s="2">
        <v>0</v>
      </c>
      <c r="AK464" s="2">
        <v>0</v>
      </c>
      <c r="AL464" s="2"/>
      <c r="AM464" s="2">
        <v>0</v>
      </c>
      <c r="AN464" s="2">
        <v>0</v>
      </c>
      <c r="AO464" s="2"/>
      <c r="AP464" s="2"/>
      <c r="AQ464" s="2" t="s">
        <v>48</v>
      </c>
      <c r="AR464" s="58" t="s">
        <v>934</v>
      </c>
      <c r="AS464" s="56" t="s">
        <v>1078</v>
      </c>
      <c r="AT464" s="56" t="s">
        <v>1079</v>
      </c>
      <c r="AU464" s="2" t="s">
        <v>1099</v>
      </c>
      <c r="AV464" s="2" t="s">
        <v>1058</v>
      </c>
      <c r="AW464" s="2">
        <v>4.4001111146999996</v>
      </c>
      <c r="AX464" s="2">
        <v>50.858425040500002</v>
      </c>
    </row>
    <row r="465" spans="2:50" x14ac:dyDescent="0.25">
      <c r="B465" s="2">
        <v>123</v>
      </c>
      <c r="C465" s="2">
        <v>2126958</v>
      </c>
      <c r="D465" s="2" t="s">
        <v>720</v>
      </c>
      <c r="E465" s="2">
        <v>49</v>
      </c>
      <c r="F465" s="2">
        <v>0</v>
      </c>
      <c r="G465" s="2">
        <v>0</v>
      </c>
      <c r="H465" s="2">
        <v>0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 s="2">
        <v>0</v>
      </c>
      <c r="O465" s="2">
        <v>0</v>
      </c>
      <c r="P465" s="2">
        <v>0</v>
      </c>
      <c r="Q465" s="2">
        <f>SUM(parking_data_1030[[#This Row],[Résidenti]:[Autres]])</f>
        <v>49</v>
      </c>
      <c r="R465" s="2">
        <v>0</v>
      </c>
      <c r="S465" s="2">
        <v>0</v>
      </c>
      <c r="T465" s="2" t="s">
        <v>43</v>
      </c>
      <c r="U465" s="2" t="s">
        <v>54</v>
      </c>
      <c r="V465" s="2" t="s">
        <v>45</v>
      </c>
      <c r="W465" s="2">
        <v>1</v>
      </c>
      <c r="X465" s="2">
        <v>1</v>
      </c>
      <c r="Y465" s="2">
        <v>0</v>
      </c>
      <c r="Z465" s="2">
        <v>0</v>
      </c>
      <c r="AA465" s="2">
        <v>0</v>
      </c>
      <c r="AB465" s="2"/>
      <c r="AC465" s="2">
        <v>0</v>
      </c>
      <c r="AD465" s="2"/>
      <c r="AE465" s="2" t="s">
        <v>46</v>
      </c>
      <c r="AF465" s="2">
        <v>0</v>
      </c>
      <c r="AG465" s="2">
        <v>0</v>
      </c>
      <c r="AH465" s="2"/>
      <c r="AI465" s="2" t="s">
        <v>43</v>
      </c>
      <c r="AJ465" s="2">
        <v>0</v>
      </c>
      <c r="AK465" s="2">
        <v>0</v>
      </c>
      <c r="AL465" s="2"/>
      <c r="AM465" s="2">
        <v>0</v>
      </c>
      <c r="AN465" s="2">
        <v>0</v>
      </c>
      <c r="AO465" s="2"/>
      <c r="AP465" s="2"/>
      <c r="AQ465" s="2" t="s">
        <v>48</v>
      </c>
      <c r="AR465" s="58" t="s">
        <v>1746</v>
      </c>
      <c r="AS465" s="56" t="s">
        <v>1078</v>
      </c>
      <c r="AT465" s="56" t="s">
        <v>1079</v>
      </c>
      <c r="AU465" s="2" t="s">
        <v>1103</v>
      </c>
      <c r="AV465" s="2" t="s">
        <v>1058</v>
      </c>
      <c r="AW465" s="2">
        <v>4.3987428106999999</v>
      </c>
      <c r="AX465" s="2">
        <v>50.857600211700003</v>
      </c>
    </row>
    <row r="466" spans="2:50" x14ac:dyDescent="0.25">
      <c r="B466" s="2">
        <v>246</v>
      </c>
      <c r="C466" s="2">
        <v>8778351</v>
      </c>
      <c r="D466" s="2" t="s">
        <v>196</v>
      </c>
      <c r="E466" s="2">
        <v>24</v>
      </c>
      <c r="F466" s="2">
        <v>0</v>
      </c>
      <c r="G466" s="2">
        <v>0</v>
      </c>
      <c r="H466" s="2">
        <v>0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 s="2">
        <v>0</v>
      </c>
      <c r="O466" s="2">
        <v>0</v>
      </c>
      <c r="P466" s="2">
        <v>0</v>
      </c>
      <c r="Q466" s="2">
        <f>SUM(parking_data_1030[[#This Row],[Résidenti]:[Autres]])</f>
        <v>24</v>
      </c>
      <c r="R466" s="2">
        <v>0</v>
      </c>
      <c r="S466" s="2">
        <v>0</v>
      </c>
      <c r="T466" s="2" t="s">
        <v>43</v>
      </c>
      <c r="U466" s="2" t="s">
        <v>76</v>
      </c>
      <c r="V466" s="2" t="s">
        <v>45</v>
      </c>
      <c r="W466" s="2">
        <v>1</v>
      </c>
      <c r="X466" s="2">
        <v>0</v>
      </c>
      <c r="Y466" s="2">
        <v>0</v>
      </c>
      <c r="Z466" s="2">
        <v>0</v>
      </c>
      <c r="AA466" s="2">
        <v>0</v>
      </c>
      <c r="AB466" s="2"/>
      <c r="AC466" s="2">
        <v>0</v>
      </c>
      <c r="AD466" s="2"/>
      <c r="AE466" s="2" t="s">
        <v>106</v>
      </c>
      <c r="AF466" s="2">
        <v>0</v>
      </c>
      <c r="AG466" s="2">
        <v>0</v>
      </c>
      <c r="AH466" s="2"/>
      <c r="AI466" s="2" t="s">
        <v>43</v>
      </c>
      <c r="AJ466" s="2">
        <v>0</v>
      </c>
      <c r="AK466" s="2">
        <v>0</v>
      </c>
      <c r="AL466" s="2"/>
      <c r="AM466" s="2">
        <v>0</v>
      </c>
      <c r="AN466" s="2">
        <v>0</v>
      </c>
      <c r="AO466" s="2"/>
      <c r="AP466" s="2"/>
      <c r="AQ466" s="2" t="s">
        <v>48</v>
      </c>
      <c r="AR466" s="58" t="s">
        <v>1023</v>
      </c>
      <c r="AS466" s="56" t="s">
        <v>1289</v>
      </c>
      <c r="AT466" s="56" t="s">
        <v>1290</v>
      </c>
      <c r="AU466" s="2" t="s">
        <v>1288</v>
      </c>
      <c r="AV466" s="2" t="s">
        <v>1142</v>
      </c>
      <c r="AW466" s="2">
        <v>4.3895781034999999</v>
      </c>
      <c r="AX466" s="2">
        <v>50.851505267500002</v>
      </c>
    </row>
    <row r="467" spans="2:50" x14ac:dyDescent="0.25">
      <c r="B467" s="2">
        <v>267</v>
      </c>
      <c r="C467" s="2">
        <v>2157641</v>
      </c>
      <c r="D467" s="2" t="s">
        <v>461</v>
      </c>
      <c r="E467" s="2">
        <v>0</v>
      </c>
      <c r="F467" s="2">
        <v>0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98</v>
      </c>
      <c r="N467" s="2">
        <v>0</v>
      </c>
      <c r="O467" s="2">
        <v>0</v>
      </c>
      <c r="P467" s="2">
        <v>0</v>
      </c>
      <c r="Q467" s="2">
        <f>SUM(parking_data_1030[[#This Row],[Résidenti]:[Autres]])</f>
        <v>98</v>
      </c>
      <c r="R467" s="2">
        <v>0</v>
      </c>
      <c r="S467" s="2">
        <v>0</v>
      </c>
      <c r="T467" s="2" t="s">
        <v>43</v>
      </c>
      <c r="U467" s="2" t="s">
        <v>76</v>
      </c>
      <c r="V467" s="2" t="s">
        <v>59</v>
      </c>
      <c r="W467" s="2">
        <v>1</v>
      </c>
      <c r="X467" s="2">
        <v>0</v>
      </c>
      <c r="Y467" s="2">
        <v>0</v>
      </c>
      <c r="Z467" s="2">
        <v>0</v>
      </c>
      <c r="AA467" s="2">
        <v>0</v>
      </c>
      <c r="AB467" s="2"/>
      <c r="AC467" s="2">
        <v>0</v>
      </c>
      <c r="AD467" s="3">
        <v>47467</v>
      </c>
      <c r="AE467" s="2" t="s">
        <v>46</v>
      </c>
      <c r="AF467" s="2">
        <v>0</v>
      </c>
      <c r="AG467" s="2">
        <v>0</v>
      </c>
      <c r="AH467" s="2"/>
      <c r="AI467" s="2" t="s">
        <v>43</v>
      </c>
      <c r="AJ467" s="2">
        <v>0</v>
      </c>
      <c r="AK467" s="2">
        <v>98</v>
      </c>
      <c r="AL467" s="2"/>
      <c r="AM467" s="2">
        <v>0</v>
      </c>
      <c r="AN467" s="2">
        <v>0</v>
      </c>
      <c r="AO467" s="2"/>
      <c r="AP467" s="2"/>
      <c r="AQ467" s="2" t="s">
        <v>48</v>
      </c>
      <c r="AR467" s="58" t="s">
        <v>1747</v>
      </c>
      <c r="AS467" s="56" t="s">
        <v>876</v>
      </c>
      <c r="AT467" s="56" t="s">
        <v>877</v>
      </c>
      <c r="AU467" s="2" t="s">
        <v>1310</v>
      </c>
      <c r="AV467" s="2" t="s">
        <v>1137</v>
      </c>
      <c r="AW467" s="2">
        <v>4.3924321404000004</v>
      </c>
      <c r="AX467" s="2">
        <v>50.8537801063</v>
      </c>
    </row>
    <row r="468" spans="2:50" x14ac:dyDescent="0.25">
      <c r="B468" s="2">
        <v>319</v>
      </c>
      <c r="C468" s="2">
        <v>2127316</v>
      </c>
      <c r="D468" s="2" t="s">
        <v>488</v>
      </c>
      <c r="E468" s="2">
        <v>15</v>
      </c>
      <c r="F468" s="2">
        <v>0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f>SUM(parking_data_1030[[#This Row],[Résidenti]:[Autres]])</f>
        <v>15</v>
      </c>
      <c r="R468" s="2">
        <v>0</v>
      </c>
      <c r="S468" s="2">
        <v>0</v>
      </c>
      <c r="T468" s="2" t="s">
        <v>43</v>
      </c>
      <c r="U468" s="2" t="s">
        <v>44</v>
      </c>
      <c r="V468" s="2" t="s">
        <v>45</v>
      </c>
      <c r="W468" s="2">
        <v>1</v>
      </c>
      <c r="X468" s="2">
        <v>1</v>
      </c>
      <c r="Y468" s="2">
        <v>0</v>
      </c>
      <c r="Z468" s="2">
        <v>0</v>
      </c>
      <c r="AA468" s="2">
        <v>0</v>
      </c>
      <c r="AB468" s="2"/>
      <c r="AC468" s="2">
        <v>0</v>
      </c>
      <c r="AD468" s="2"/>
      <c r="AE468" s="2" t="s">
        <v>46</v>
      </c>
      <c r="AF468" s="2">
        <v>0</v>
      </c>
      <c r="AG468" s="2">
        <v>0</v>
      </c>
      <c r="AH468" s="2"/>
      <c r="AI468" s="2" t="s">
        <v>43</v>
      </c>
      <c r="AJ468" s="2">
        <v>0</v>
      </c>
      <c r="AK468" s="2">
        <v>0</v>
      </c>
      <c r="AL468" s="2"/>
      <c r="AM468" s="2">
        <v>0</v>
      </c>
      <c r="AN468" s="2">
        <v>0</v>
      </c>
      <c r="AO468" s="2"/>
      <c r="AP468" s="2"/>
      <c r="AQ468" s="2" t="s">
        <v>48</v>
      </c>
      <c r="AR468" s="58" t="s">
        <v>920</v>
      </c>
      <c r="AS468" s="56" t="s">
        <v>1730</v>
      </c>
      <c r="AT468" s="56" t="s">
        <v>1738</v>
      </c>
      <c r="AU468" s="2" t="s">
        <v>1400</v>
      </c>
      <c r="AV468" s="2" t="s">
        <v>1137</v>
      </c>
      <c r="AW468" s="2">
        <v>4.3881826973000004</v>
      </c>
      <c r="AX468" s="2">
        <v>50.858158703199997</v>
      </c>
    </row>
    <row r="469" spans="2:50" x14ac:dyDescent="0.25">
      <c r="B469" s="2">
        <v>331</v>
      </c>
      <c r="C469" s="2">
        <v>2144790</v>
      </c>
      <c r="D469" s="2" t="s">
        <v>819</v>
      </c>
      <c r="E469" s="2">
        <v>20</v>
      </c>
      <c r="F469" s="2">
        <v>0</v>
      </c>
      <c r="G469" s="2">
        <v>0</v>
      </c>
      <c r="H469" s="2">
        <v>0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 s="2">
        <v>0</v>
      </c>
      <c r="O469" s="2">
        <v>0</v>
      </c>
      <c r="P469" s="2">
        <v>0</v>
      </c>
      <c r="Q469" s="2">
        <f>SUM(parking_data_1030[[#This Row],[Résidenti]:[Autres]])</f>
        <v>20</v>
      </c>
      <c r="R469" s="2">
        <v>19</v>
      </c>
      <c r="S469" s="2">
        <v>19</v>
      </c>
      <c r="T469" s="2" t="s">
        <v>43</v>
      </c>
      <c r="U469" s="2" t="s">
        <v>76</v>
      </c>
      <c r="V469" s="2" t="s">
        <v>59</v>
      </c>
      <c r="W469" s="2">
        <v>1</v>
      </c>
      <c r="X469" s="2">
        <v>0</v>
      </c>
      <c r="Y469" s="2">
        <v>0</v>
      </c>
      <c r="Z469" s="2">
        <v>0</v>
      </c>
      <c r="AA469" s="2">
        <v>1</v>
      </c>
      <c r="AB469" s="2"/>
      <c r="AC469" s="2">
        <v>110</v>
      </c>
      <c r="AD469" s="2"/>
      <c r="AE469" s="2" t="s">
        <v>46</v>
      </c>
      <c r="AF469" s="2">
        <v>0</v>
      </c>
      <c r="AG469" s="2">
        <v>0</v>
      </c>
      <c r="AH469" s="2"/>
      <c r="AI469" s="2" t="s">
        <v>43</v>
      </c>
      <c r="AJ469" s="2">
        <v>0</v>
      </c>
      <c r="AK469" s="2">
        <v>0</v>
      </c>
      <c r="AL469" s="2"/>
      <c r="AM469" s="2">
        <v>0</v>
      </c>
      <c r="AN469" s="2">
        <v>0</v>
      </c>
      <c r="AO469" s="2"/>
      <c r="AP469" s="2"/>
      <c r="AQ469" s="2" t="s">
        <v>48</v>
      </c>
      <c r="AR469" s="58" t="s">
        <v>1008</v>
      </c>
      <c r="AS469" s="56" t="s">
        <v>1731</v>
      </c>
      <c r="AT469" s="56" t="s">
        <v>1739</v>
      </c>
      <c r="AU469" s="2" t="s">
        <v>1425</v>
      </c>
      <c r="AV469" s="2" t="s">
        <v>1420</v>
      </c>
      <c r="AW469" s="2">
        <v>4.3708496916000001</v>
      </c>
      <c r="AX469" s="2">
        <v>50.858048456600002</v>
      </c>
    </row>
    <row r="470" spans="2:50" x14ac:dyDescent="0.25">
      <c r="B470" s="2">
        <v>372</v>
      </c>
      <c r="C470" s="2">
        <v>2188941</v>
      </c>
      <c r="D470" s="2" t="s">
        <v>389</v>
      </c>
      <c r="E470" s="2">
        <v>38</v>
      </c>
      <c r="F470" s="2">
        <v>0</v>
      </c>
      <c r="G470" s="2">
        <v>0</v>
      </c>
      <c r="H470" s="2">
        <v>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 s="2">
        <v>152</v>
      </c>
      <c r="O470" s="2">
        <v>0</v>
      </c>
      <c r="P470" s="2">
        <v>0</v>
      </c>
      <c r="Q470" s="2">
        <f>SUM(parking_data_1030[[#This Row],[Résidenti]:[Autres]])</f>
        <v>190</v>
      </c>
      <c r="R470" s="2">
        <v>152</v>
      </c>
      <c r="S470" s="2">
        <v>0</v>
      </c>
      <c r="T470" s="2" t="s">
        <v>43</v>
      </c>
      <c r="U470" s="2" t="s">
        <v>76</v>
      </c>
      <c r="V470" s="2" t="s">
        <v>45</v>
      </c>
      <c r="W470" s="2">
        <v>0</v>
      </c>
      <c r="X470" s="2">
        <v>0</v>
      </c>
      <c r="Y470" s="2">
        <v>0</v>
      </c>
      <c r="Z470" s="2">
        <v>1</v>
      </c>
      <c r="AA470" s="2">
        <v>0</v>
      </c>
      <c r="AB470" s="2" t="s">
        <v>60</v>
      </c>
      <c r="AC470" s="2">
        <v>0</v>
      </c>
      <c r="AD470" s="2"/>
      <c r="AE470" s="2" t="s">
        <v>52</v>
      </c>
      <c r="AF470" s="2">
        <v>0</v>
      </c>
      <c r="AG470" s="2">
        <v>0</v>
      </c>
      <c r="AH470" s="2" t="s">
        <v>390</v>
      </c>
      <c r="AI470" s="2" t="s">
        <v>43</v>
      </c>
      <c r="AJ470" s="2">
        <v>0</v>
      </c>
      <c r="AK470" s="2">
        <v>152</v>
      </c>
      <c r="AL470" s="2" t="s">
        <v>391</v>
      </c>
      <c r="AM470" s="2">
        <v>1</v>
      </c>
      <c r="AN470" s="2">
        <v>0</v>
      </c>
      <c r="AO470" s="2" t="s">
        <v>392</v>
      </c>
      <c r="AP470" s="2"/>
      <c r="AQ470" s="2" t="s">
        <v>70</v>
      </c>
      <c r="AR470" s="58" t="s">
        <v>1279</v>
      </c>
      <c r="AS470" s="56" t="s">
        <v>1732</v>
      </c>
      <c r="AT470" s="56" t="s">
        <v>1740</v>
      </c>
      <c r="AU470" s="2" t="s">
        <v>1474</v>
      </c>
      <c r="AV470" s="2" t="s">
        <v>897</v>
      </c>
      <c r="AW470" s="2">
        <v>4.36348234</v>
      </c>
      <c r="AX470" s="2">
        <v>50.861485865900001</v>
      </c>
    </row>
    <row r="471" spans="2:50" x14ac:dyDescent="0.25">
      <c r="B471" s="2">
        <v>403</v>
      </c>
      <c r="C471" s="2">
        <v>3004434</v>
      </c>
      <c r="D471" s="2" t="s">
        <v>584</v>
      </c>
      <c r="E471" s="2">
        <v>46</v>
      </c>
      <c r="F471" s="2">
        <v>0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f>SUM(parking_data_1030[[#This Row],[Résidenti]:[Autres]])</f>
        <v>46</v>
      </c>
      <c r="R471" s="2">
        <v>0</v>
      </c>
      <c r="S471" s="2">
        <v>0</v>
      </c>
      <c r="T471" s="2" t="s">
        <v>43</v>
      </c>
      <c r="U471" s="2" t="s">
        <v>76</v>
      </c>
      <c r="V471" s="2" t="s">
        <v>45</v>
      </c>
      <c r="W471" s="2">
        <v>1</v>
      </c>
      <c r="X471" s="2">
        <v>0</v>
      </c>
      <c r="Y471" s="2">
        <v>0</v>
      </c>
      <c r="Z471" s="2">
        <v>0</v>
      </c>
      <c r="AA471" s="2">
        <v>0</v>
      </c>
      <c r="AB471" s="2" t="s">
        <v>60</v>
      </c>
      <c r="AC471" s="2">
        <v>0</v>
      </c>
      <c r="AD471" s="2"/>
      <c r="AE471" s="2" t="s">
        <v>46</v>
      </c>
      <c r="AF471" s="2">
        <v>0</v>
      </c>
      <c r="AG471" s="2">
        <v>0</v>
      </c>
      <c r="AH471" s="2" t="s">
        <v>585</v>
      </c>
      <c r="AI471" s="2" t="s">
        <v>43</v>
      </c>
      <c r="AJ471" s="2">
        <v>0</v>
      </c>
      <c r="AK471" s="2">
        <v>0</v>
      </c>
      <c r="AL471" s="2"/>
      <c r="AM471" s="2">
        <v>0</v>
      </c>
      <c r="AN471" s="2">
        <v>0</v>
      </c>
      <c r="AO471" s="2"/>
      <c r="AP471" s="2"/>
      <c r="AQ471" s="2" t="s">
        <v>48</v>
      </c>
      <c r="AR471" s="58" t="s">
        <v>845</v>
      </c>
      <c r="AS471" s="56" t="s">
        <v>1515</v>
      </c>
      <c r="AT471" s="56" t="s">
        <v>1516</v>
      </c>
      <c r="AU471" s="2" t="s">
        <v>1526</v>
      </c>
      <c r="AV471" s="2" t="s">
        <v>1170</v>
      </c>
      <c r="AW471" s="2">
        <v>4.3781564164000004</v>
      </c>
      <c r="AX471" s="2">
        <v>50.870066751000003</v>
      </c>
    </row>
    <row r="472" spans="2:50" x14ac:dyDescent="0.25">
      <c r="B472" s="2">
        <v>405</v>
      </c>
      <c r="C472" s="2">
        <v>4001117</v>
      </c>
      <c r="D472" s="2" t="s">
        <v>588</v>
      </c>
      <c r="E472" s="2">
        <v>0</v>
      </c>
      <c r="F472" s="2">
        <v>0</v>
      </c>
      <c r="G472" s="2">
        <v>35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f>SUM(parking_data_1030[[#This Row],[Résidenti]:[Autres]])</f>
        <v>35</v>
      </c>
      <c r="R472" s="2">
        <v>0</v>
      </c>
      <c r="S472" s="2">
        <v>0</v>
      </c>
      <c r="T472" s="2" t="s">
        <v>43</v>
      </c>
      <c r="U472" s="2" t="s">
        <v>64</v>
      </c>
      <c r="V472" s="2" t="s">
        <v>45</v>
      </c>
      <c r="W472" s="2">
        <v>1</v>
      </c>
      <c r="X472" s="2">
        <v>0</v>
      </c>
      <c r="Y472" s="2">
        <v>0</v>
      </c>
      <c r="Z472" s="2">
        <v>1</v>
      </c>
      <c r="AA472" s="2">
        <v>0</v>
      </c>
      <c r="AB472" s="2"/>
      <c r="AC472" s="2">
        <v>0</v>
      </c>
      <c r="AD472" s="3">
        <v>47238</v>
      </c>
      <c r="AE472" s="2" t="s">
        <v>106</v>
      </c>
      <c r="AF472" s="2">
        <v>0</v>
      </c>
      <c r="AG472" s="2">
        <v>0</v>
      </c>
      <c r="AH472" s="2"/>
      <c r="AI472" s="2" t="s">
        <v>43</v>
      </c>
      <c r="AJ472" s="2">
        <v>0</v>
      </c>
      <c r="AK472" s="2">
        <v>35</v>
      </c>
      <c r="AL472" s="2" t="s">
        <v>589</v>
      </c>
      <c r="AM472" s="2">
        <v>3</v>
      </c>
      <c r="AN472" s="2">
        <v>1</v>
      </c>
      <c r="AO472" s="2" t="s">
        <v>590</v>
      </c>
      <c r="AP472" s="2" t="s">
        <v>591</v>
      </c>
      <c r="AQ472" s="2" t="s">
        <v>70</v>
      </c>
      <c r="AR472" s="58" t="s">
        <v>1045</v>
      </c>
      <c r="AS472" s="56" t="s">
        <v>1733</v>
      </c>
      <c r="AT472" s="56" t="s">
        <v>1741</v>
      </c>
      <c r="AU472" s="2" t="s">
        <v>836</v>
      </c>
      <c r="AV472" s="2" t="s">
        <v>836</v>
      </c>
      <c r="AW472" s="2">
        <v>4.3681640727</v>
      </c>
      <c r="AX472" s="2">
        <v>50.870872689000002</v>
      </c>
    </row>
    <row r="473" spans="2:50" x14ac:dyDescent="0.25">
      <c r="B473" s="2">
        <v>408</v>
      </c>
      <c r="C473" s="2">
        <v>2247582</v>
      </c>
      <c r="D473" s="2" t="s">
        <v>593</v>
      </c>
      <c r="E473" s="2">
        <v>0</v>
      </c>
      <c r="F473" s="2">
        <v>0</v>
      </c>
      <c r="G473" s="2">
        <v>0</v>
      </c>
      <c r="H473" s="2">
        <v>0</v>
      </c>
      <c r="I473" s="2">
        <v>0</v>
      </c>
      <c r="J473" s="2">
        <v>30</v>
      </c>
      <c r="K473" s="2">
        <v>0</v>
      </c>
      <c r="L473" s="2">
        <v>0</v>
      </c>
      <c r="M473" s="2">
        <v>0</v>
      </c>
      <c r="N473" s="2">
        <v>0</v>
      </c>
      <c r="O473" s="2">
        <v>0</v>
      </c>
      <c r="P473" s="2">
        <v>0</v>
      </c>
      <c r="Q473" s="2">
        <f>SUM(parking_data_1030[[#This Row],[Résidenti]:[Autres]])</f>
        <v>30</v>
      </c>
      <c r="R473" s="2">
        <v>0</v>
      </c>
      <c r="S473" s="2">
        <v>0</v>
      </c>
      <c r="T473" s="2" t="s">
        <v>43</v>
      </c>
      <c r="U473" s="2" t="s">
        <v>44</v>
      </c>
      <c r="V473" s="2" t="s">
        <v>45</v>
      </c>
      <c r="W473" s="2">
        <v>1</v>
      </c>
      <c r="X473" s="2">
        <v>0</v>
      </c>
      <c r="Y473" s="2">
        <v>0</v>
      </c>
      <c r="Z473" s="2">
        <v>0</v>
      </c>
      <c r="AA473" s="2">
        <v>0</v>
      </c>
      <c r="AB473" s="2"/>
      <c r="AC473" s="2">
        <v>0</v>
      </c>
      <c r="AD473" s="2"/>
      <c r="AE473" s="2" t="s">
        <v>46</v>
      </c>
      <c r="AF473" s="2">
        <v>0</v>
      </c>
      <c r="AG473" s="2">
        <v>0</v>
      </c>
      <c r="AH473" s="2"/>
      <c r="AI473" s="2" t="s">
        <v>43</v>
      </c>
      <c r="AJ473" s="2">
        <v>0</v>
      </c>
      <c r="AK473" s="2">
        <v>30</v>
      </c>
      <c r="AL473" s="2"/>
      <c r="AM473" s="2">
        <v>0</v>
      </c>
      <c r="AN473" s="2">
        <v>0</v>
      </c>
      <c r="AO473" s="2"/>
      <c r="AP473" s="2"/>
      <c r="AQ473" s="2" t="s">
        <v>48</v>
      </c>
      <c r="AR473" s="58" t="s">
        <v>901</v>
      </c>
      <c r="AS473" s="56" t="s">
        <v>1734</v>
      </c>
      <c r="AT473" s="56" t="s">
        <v>1742</v>
      </c>
      <c r="AU473" s="2" t="s">
        <v>836</v>
      </c>
      <c r="AV473" s="2" t="s">
        <v>836</v>
      </c>
      <c r="AW473" s="2">
        <v>4.3728375984000003</v>
      </c>
      <c r="AX473" s="2">
        <v>50.872452866700002</v>
      </c>
    </row>
    <row r="474" spans="2:50" x14ac:dyDescent="0.25">
      <c r="B474" s="2">
        <v>409</v>
      </c>
      <c r="C474" s="2">
        <v>2247577</v>
      </c>
      <c r="D474" s="2" t="s">
        <v>594</v>
      </c>
      <c r="E474" s="2">
        <v>0</v>
      </c>
      <c r="F474" s="2">
        <v>0</v>
      </c>
      <c r="G474" s="2">
        <v>0</v>
      </c>
      <c r="H474" s="2">
        <v>0</v>
      </c>
      <c r="I474" s="2">
        <v>0</v>
      </c>
      <c r="J474" s="2">
        <v>18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f>SUM(parking_data_1030[[#This Row],[Résidenti]:[Autres]])</f>
        <v>18</v>
      </c>
      <c r="R474" s="2">
        <v>0</v>
      </c>
      <c r="S474" s="2">
        <v>0</v>
      </c>
      <c r="T474" s="2" t="s">
        <v>43</v>
      </c>
      <c r="U474" s="2" t="s">
        <v>64</v>
      </c>
      <c r="V474" s="2" t="s">
        <v>45</v>
      </c>
      <c r="W474" s="2">
        <v>0</v>
      </c>
      <c r="X474" s="2">
        <v>0</v>
      </c>
      <c r="Y474" s="2">
        <v>0</v>
      </c>
      <c r="Z474" s="2">
        <v>1</v>
      </c>
      <c r="AA474" s="2">
        <v>0</v>
      </c>
      <c r="AB474" s="2"/>
      <c r="AC474" s="2">
        <v>0</v>
      </c>
      <c r="AD474" s="2"/>
      <c r="AE474" s="2" t="s">
        <v>46</v>
      </c>
      <c r="AF474" s="2">
        <v>0</v>
      </c>
      <c r="AG474" s="2">
        <v>0</v>
      </c>
      <c r="AH474" s="2"/>
      <c r="AI474" s="2" t="s">
        <v>43</v>
      </c>
      <c r="AJ474" s="2">
        <v>0</v>
      </c>
      <c r="AK474" s="2">
        <v>18</v>
      </c>
      <c r="AL474" s="2"/>
      <c r="AM474" s="2">
        <v>0</v>
      </c>
      <c r="AN474" s="2">
        <v>0</v>
      </c>
      <c r="AO474" s="2"/>
      <c r="AP474" s="2"/>
      <c r="AQ474" s="2" t="s">
        <v>48</v>
      </c>
      <c r="AR474" s="58" t="s">
        <v>1374</v>
      </c>
      <c r="AS474" s="56" t="s">
        <v>1734</v>
      </c>
      <c r="AT474" s="56" t="s">
        <v>1742</v>
      </c>
      <c r="AU474" s="2" t="s">
        <v>836</v>
      </c>
      <c r="AV474" s="2" t="s">
        <v>836</v>
      </c>
      <c r="AW474" s="2">
        <v>4.3729119377999996</v>
      </c>
      <c r="AX474" s="2">
        <v>50.872872341200001</v>
      </c>
    </row>
    <row r="475" spans="2:50" x14ac:dyDescent="0.25">
      <c r="B475" s="2">
        <v>411</v>
      </c>
      <c r="C475" s="2">
        <v>3000824</v>
      </c>
      <c r="D475" s="2" t="s">
        <v>595</v>
      </c>
      <c r="E475" s="2">
        <v>18</v>
      </c>
      <c r="F475" s="2">
        <v>0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f>SUM(parking_data_1030[[#This Row],[Résidenti]:[Autres]])</f>
        <v>18</v>
      </c>
      <c r="R475" s="2">
        <v>0</v>
      </c>
      <c r="S475" s="2">
        <v>0</v>
      </c>
      <c r="T475" s="2" t="s">
        <v>43</v>
      </c>
      <c r="U475" s="2" t="s">
        <v>76</v>
      </c>
      <c r="V475" s="2" t="s">
        <v>45</v>
      </c>
      <c r="W475" s="2">
        <v>1</v>
      </c>
      <c r="X475" s="2">
        <v>1</v>
      </c>
      <c r="Y475" s="2">
        <v>0</v>
      </c>
      <c r="Z475" s="2">
        <v>0</v>
      </c>
      <c r="AA475" s="2">
        <v>0</v>
      </c>
      <c r="AB475" s="2"/>
      <c r="AC475" s="2">
        <v>0</v>
      </c>
      <c r="AD475" s="2"/>
      <c r="AE475" s="2" t="s">
        <v>46</v>
      </c>
      <c r="AF475" s="2">
        <v>0</v>
      </c>
      <c r="AG475" s="2">
        <v>0</v>
      </c>
      <c r="AH475" s="2"/>
      <c r="AI475" s="2" t="s">
        <v>43</v>
      </c>
      <c r="AJ475" s="2">
        <v>0</v>
      </c>
      <c r="AK475" s="2">
        <v>0</v>
      </c>
      <c r="AL475" s="2"/>
      <c r="AM475" s="2">
        <v>0</v>
      </c>
      <c r="AN475" s="2">
        <v>0</v>
      </c>
      <c r="AO475" s="2"/>
      <c r="AP475" s="2"/>
      <c r="AQ475" s="2" t="s">
        <v>48</v>
      </c>
      <c r="AR475" s="58" t="s">
        <v>1223</v>
      </c>
      <c r="AS475" s="56" t="s">
        <v>1735</v>
      </c>
      <c r="AT475" s="56" t="s">
        <v>1744</v>
      </c>
      <c r="AU475" s="2" t="s">
        <v>1530</v>
      </c>
      <c r="AV475" s="2" t="s">
        <v>1170</v>
      </c>
      <c r="AW475" s="2">
        <v>4.3737549165000003</v>
      </c>
      <c r="AX475" s="2">
        <v>50.872813342699999</v>
      </c>
    </row>
    <row r="476" spans="2:50" x14ac:dyDescent="0.25">
      <c r="B476" s="2">
        <v>416</v>
      </c>
      <c r="C476" s="2">
        <v>4001103</v>
      </c>
      <c r="D476" s="2" t="s">
        <v>578</v>
      </c>
      <c r="E476" s="2">
        <v>0</v>
      </c>
      <c r="F476" s="2">
        <v>0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f>SUM(parking_data_1030[[#This Row],[Résidenti]:[Autres]])</f>
        <v>0</v>
      </c>
      <c r="R476" s="2">
        <v>0</v>
      </c>
      <c r="S476" s="2">
        <v>0</v>
      </c>
      <c r="T476" s="2" t="s">
        <v>43</v>
      </c>
      <c r="U476" s="2" t="s">
        <v>64</v>
      </c>
      <c r="V476" s="2" t="s">
        <v>45</v>
      </c>
      <c r="W476" s="2">
        <v>0</v>
      </c>
      <c r="X476" s="2">
        <v>0</v>
      </c>
      <c r="Y476" s="2">
        <v>0</v>
      </c>
      <c r="Z476" s="2">
        <v>1</v>
      </c>
      <c r="AA476" s="2">
        <v>0</v>
      </c>
      <c r="AB476" s="2"/>
      <c r="AC476" s="2">
        <v>0</v>
      </c>
      <c r="AD476" s="2"/>
      <c r="AE476" s="2" t="s">
        <v>46</v>
      </c>
      <c r="AF476" s="2">
        <v>0</v>
      </c>
      <c r="AG476" s="2">
        <v>0</v>
      </c>
      <c r="AH476" s="2" t="s">
        <v>579</v>
      </c>
      <c r="AI476" s="2" t="s">
        <v>79</v>
      </c>
      <c r="AJ476" s="2">
        <v>0</v>
      </c>
      <c r="AK476" s="2">
        <v>0</v>
      </c>
      <c r="AL476" s="2"/>
      <c r="AM476" s="2">
        <v>0</v>
      </c>
      <c r="AN476" s="2">
        <v>0</v>
      </c>
      <c r="AO476" s="2"/>
      <c r="AP476" s="2"/>
      <c r="AQ476" s="2" t="s">
        <v>48</v>
      </c>
      <c r="AR476" s="58" t="s">
        <v>1580</v>
      </c>
      <c r="AS476" s="56" t="s">
        <v>1734</v>
      </c>
      <c r="AT476" s="56" t="s">
        <v>1742</v>
      </c>
      <c r="AU476" s="2" t="s">
        <v>836</v>
      </c>
      <c r="AV476" s="2" t="s">
        <v>836</v>
      </c>
      <c r="AW476" s="2">
        <v>4.3739609092</v>
      </c>
      <c r="AX476" s="2">
        <v>50.874801980199997</v>
      </c>
    </row>
    <row r="477" spans="2:50" x14ac:dyDescent="0.25">
      <c r="B477" s="2">
        <v>417</v>
      </c>
      <c r="C477" s="2">
        <v>2247583</v>
      </c>
      <c r="D477" s="2" t="s">
        <v>580</v>
      </c>
      <c r="E477" s="2">
        <v>26</v>
      </c>
      <c r="F477" s="2">
        <v>0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f>SUM(parking_data_1030[[#This Row],[Résidenti]:[Autres]])</f>
        <v>26</v>
      </c>
      <c r="R477" s="2">
        <v>0</v>
      </c>
      <c r="S477" s="2">
        <v>0</v>
      </c>
      <c r="T477" s="2" t="s">
        <v>43</v>
      </c>
      <c r="U477" s="2" t="s">
        <v>76</v>
      </c>
      <c r="V477" s="2" t="s">
        <v>45</v>
      </c>
      <c r="W477" s="2">
        <v>1</v>
      </c>
      <c r="X477" s="2">
        <v>0</v>
      </c>
      <c r="Y477" s="2">
        <v>0</v>
      </c>
      <c r="Z477" s="2">
        <v>0</v>
      </c>
      <c r="AA477" s="2">
        <v>0</v>
      </c>
      <c r="AB477" s="2"/>
      <c r="AC477" s="2">
        <v>0</v>
      </c>
      <c r="AD477" s="2"/>
      <c r="AE477" s="2" t="s">
        <v>46</v>
      </c>
      <c r="AF477" s="2">
        <v>0</v>
      </c>
      <c r="AG477" s="2">
        <v>0</v>
      </c>
      <c r="AH477" s="2" t="s">
        <v>581</v>
      </c>
      <c r="AI477" s="2" t="s">
        <v>43</v>
      </c>
      <c r="AJ477" s="2">
        <v>0</v>
      </c>
      <c r="AK477" s="2">
        <v>0</v>
      </c>
      <c r="AL477" s="2"/>
      <c r="AM477" s="2">
        <v>0</v>
      </c>
      <c r="AN477" s="2">
        <v>0</v>
      </c>
      <c r="AO477" s="2"/>
      <c r="AP477" s="2"/>
      <c r="AQ477" s="2" t="s">
        <v>48</v>
      </c>
      <c r="AR477" s="58" t="s">
        <v>1207</v>
      </c>
      <c r="AS477" s="56" t="s">
        <v>1734</v>
      </c>
      <c r="AT477" s="56" t="s">
        <v>1742</v>
      </c>
      <c r="AU477" s="2" t="s">
        <v>836</v>
      </c>
      <c r="AV477" s="2" t="s">
        <v>836</v>
      </c>
      <c r="AW477" s="2">
        <v>4.3733149302000003</v>
      </c>
      <c r="AX477" s="2">
        <v>50.873539962300001</v>
      </c>
    </row>
    <row r="478" spans="2:50" x14ac:dyDescent="0.25">
      <c r="B478" s="2">
        <v>451</v>
      </c>
      <c r="C478" s="2">
        <v>2134593</v>
      </c>
      <c r="D478" s="2" t="s">
        <v>638</v>
      </c>
      <c r="E478" s="2">
        <v>0</v>
      </c>
      <c r="F478" s="2">
        <v>0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60</v>
      </c>
      <c r="Q478" s="2">
        <f>SUM(parking_data_1030[[#This Row],[Résidenti]:[Autres]])</f>
        <v>60</v>
      </c>
      <c r="R478" s="2">
        <v>0</v>
      </c>
      <c r="S478" s="2">
        <v>0</v>
      </c>
      <c r="T478" s="2" t="s">
        <v>43</v>
      </c>
      <c r="U478" s="2" t="s">
        <v>64</v>
      </c>
      <c r="V478" s="2" t="s">
        <v>45</v>
      </c>
      <c r="W478" s="2">
        <v>0</v>
      </c>
      <c r="X478" s="2">
        <v>0</v>
      </c>
      <c r="Y478" s="2">
        <v>0</v>
      </c>
      <c r="Z478" s="2">
        <v>1</v>
      </c>
      <c r="AA478" s="2">
        <v>0</v>
      </c>
      <c r="AB478" s="2"/>
      <c r="AC478" s="2">
        <v>0</v>
      </c>
      <c r="AD478" s="2"/>
      <c r="AE478" s="2" t="s">
        <v>106</v>
      </c>
      <c r="AF478" s="2">
        <v>0</v>
      </c>
      <c r="AG478" s="2">
        <v>0</v>
      </c>
      <c r="AH478" s="2" t="s">
        <v>639</v>
      </c>
      <c r="AI478" s="2" t="s">
        <v>79</v>
      </c>
      <c r="AJ478" s="2">
        <v>0</v>
      </c>
      <c r="AK478" s="2">
        <v>60</v>
      </c>
      <c r="AL478" s="2"/>
      <c r="AM478" s="2">
        <v>0</v>
      </c>
      <c r="AN478" s="2">
        <v>0</v>
      </c>
      <c r="AO478" s="2"/>
      <c r="AP478" s="2"/>
      <c r="AQ478" s="2" t="s">
        <v>48</v>
      </c>
      <c r="AR478" s="58" t="s">
        <v>1748</v>
      </c>
      <c r="AS478" s="56" t="s">
        <v>1116</v>
      </c>
      <c r="AT478" s="56" t="s">
        <v>1117</v>
      </c>
      <c r="AU478" s="2" t="s">
        <v>1127</v>
      </c>
      <c r="AV478" s="2" t="s">
        <v>869</v>
      </c>
      <c r="AW478" s="2">
        <v>4.4121693089000003</v>
      </c>
      <c r="AX478" s="2">
        <v>50.854213163799997</v>
      </c>
    </row>
    <row r="479" spans="2:50" x14ac:dyDescent="0.25">
      <c r="B479" s="2">
        <v>469</v>
      </c>
      <c r="C479" s="2">
        <v>2248669</v>
      </c>
      <c r="D479" s="2" t="s">
        <v>550</v>
      </c>
      <c r="E479" s="2">
        <v>0</v>
      </c>
      <c r="F479" s="2">
        <v>0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62</v>
      </c>
      <c r="O479" s="2">
        <v>0</v>
      </c>
      <c r="P479" s="2">
        <v>0</v>
      </c>
      <c r="Q479" s="2">
        <f>SUM(parking_data_1030[[#This Row],[Résidenti]:[Autres]])</f>
        <v>62</v>
      </c>
      <c r="R479" s="2">
        <v>62</v>
      </c>
      <c r="S479" s="2">
        <v>0</v>
      </c>
      <c r="T479" s="2" t="s">
        <v>43</v>
      </c>
      <c r="U479" s="2" t="s">
        <v>64</v>
      </c>
      <c r="V479" s="2" t="s">
        <v>45</v>
      </c>
      <c r="W479" s="2">
        <v>1</v>
      </c>
      <c r="X479" s="2">
        <v>0</v>
      </c>
      <c r="Y479" s="2">
        <v>0</v>
      </c>
      <c r="Z479" s="2">
        <v>1</v>
      </c>
      <c r="AA479" s="2">
        <v>0</v>
      </c>
      <c r="AB479" s="2"/>
      <c r="AC479" s="2">
        <v>0</v>
      </c>
      <c r="AD479" s="2"/>
      <c r="AE479" s="2" t="s">
        <v>52</v>
      </c>
      <c r="AF479" s="2">
        <v>0</v>
      </c>
      <c r="AG479" s="2">
        <v>0</v>
      </c>
      <c r="AH479" s="2" t="s">
        <v>551</v>
      </c>
      <c r="AI479" s="2" t="s">
        <v>43</v>
      </c>
      <c r="AJ479" s="2">
        <v>0</v>
      </c>
      <c r="AK479" s="2">
        <v>62</v>
      </c>
      <c r="AL479" s="2" t="s">
        <v>552</v>
      </c>
      <c r="AM479" s="2">
        <v>0</v>
      </c>
      <c r="AN479" s="2">
        <v>0</v>
      </c>
      <c r="AO479" s="2"/>
      <c r="AP479" s="2"/>
      <c r="AQ479" s="2" t="s">
        <v>48</v>
      </c>
      <c r="AR479" s="58" t="s">
        <v>1070</v>
      </c>
      <c r="AS479" s="56" t="s">
        <v>1736</v>
      </c>
      <c r="AT479" s="56" t="s">
        <v>1743</v>
      </c>
      <c r="AU479" s="2" t="s">
        <v>836</v>
      </c>
      <c r="AV479" s="2" t="s">
        <v>836</v>
      </c>
      <c r="AW479" s="2">
        <v>4.3784532172999997</v>
      </c>
      <c r="AX479" s="2">
        <v>50.877498757200001</v>
      </c>
    </row>
    <row r="480" spans="2:50" x14ac:dyDescent="0.25">
      <c r="B480" s="2">
        <v>470</v>
      </c>
      <c r="C480" s="2">
        <v>2252264</v>
      </c>
      <c r="D480" s="2" t="s">
        <v>553</v>
      </c>
      <c r="E480" s="2">
        <v>0</v>
      </c>
      <c r="F480" s="2">
        <v>0</v>
      </c>
      <c r="G480" s="2">
        <v>0</v>
      </c>
      <c r="H480" s="2">
        <v>0</v>
      </c>
      <c r="I480" s="2">
        <v>49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f>SUM(parking_data_1030[[#This Row],[Résidenti]:[Autres]])</f>
        <v>49</v>
      </c>
      <c r="R480" s="2">
        <v>0</v>
      </c>
      <c r="S480" s="2">
        <v>0</v>
      </c>
      <c r="T480" s="2" t="s">
        <v>43</v>
      </c>
      <c r="U480" s="2" t="s">
        <v>95</v>
      </c>
      <c r="V480" s="2" t="s">
        <v>45</v>
      </c>
      <c r="W480" s="2">
        <v>1</v>
      </c>
      <c r="X480" s="2">
        <v>0</v>
      </c>
      <c r="Y480" s="2">
        <v>0</v>
      </c>
      <c r="Z480" s="2">
        <v>1</v>
      </c>
      <c r="AA480" s="2">
        <v>0</v>
      </c>
      <c r="AB480" s="2"/>
      <c r="AC480" s="2">
        <v>0</v>
      </c>
      <c r="AD480" s="3">
        <v>46559</v>
      </c>
      <c r="AE480" s="2" t="s">
        <v>46</v>
      </c>
      <c r="AF480" s="2">
        <v>0</v>
      </c>
      <c r="AG480" s="2">
        <v>0</v>
      </c>
      <c r="AH480" s="2"/>
      <c r="AI480" s="2" t="s">
        <v>43</v>
      </c>
      <c r="AJ480" s="2">
        <v>0</v>
      </c>
      <c r="AK480" s="2">
        <v>49</v>
      </c>
      <c r="AL480" s="2" t="s">
        <v>554</v>
      </c>
      <c r="AM480" s="2">
        <v>3</v>
      </c>
      <c r="AN480" s="2">
        <v>1</v>
      </c>
      <c r="AO480" s="2" t="s">
        <v>555</v>
      </c>
      <c r="AP480" s="2" t="s">
        <v>556</v>
      </c>
      <c r="AQ480" s="2" t="s">
        <v>70</v>
      </c>
      <c r="AR480" s="58" t="s">
        <v>1567</v>
      </c>
      <c r="AS480" s="56" t="s">
        <v>1195</v>
      </c>
      <c r="AT480" s="56" t="s">
        <v>1196</v>
      </c>
      <c r="AU480" s="2" t="s">
        <v>836</v>
      </c>
      <c r="AV480" s="2" t="s">
        <v>836</v>
      </c>
      <c r="AW480" s="2">
        <v>4.3627263309000002</v>
      </c>
      <c r="AX480" s="2">
        <v>50.870483167899998</v>
      </c>
    </row>
    <row r="481" spans="2:50" x14ac:dyDescent="0.25">
      <c r="B481" s="2">
        <v>480</v>
      </c>
      <c r="C481" s="2">
        <v>3000803</v>
      </c>
      <c r="D481" s="2" t="s">
        <v>520</v>
      </c>
      <c r="E481" s="2">
        <v>0</v>
      </c>
      <c r="F481" s="2">
        <v>0</v>
      </c>
      <c r="G481" s="2">
        <v>27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f>SUM(parking_data_1030[[#This Row],[Résidenti]:[Autres]])</f>
        <v>27</v>
      </c>
      <c r="R481" s="2">
        <v>0</v>
      </c>
      <c r="S481" s="2">
        <v>0</v>
      </c>
      <c r="T481" s="2" t="s">
        <v>43</v>
      </c>
      <c r="U481" s="2" t="s">
        <v>54</v>
      </c>
      <c r="V481" s="2" t="s">
        <v>45</v>
      </c>
      <c r="W481" s="2">
        <v>0</v>
      </c>
      <c r="X481" s="2">
        <v>1</v>
      </c>
      <c r="Y481" s="2">
        <v>0</v>
      </c>
      <c r="Z481" s="2">
        <v>1</v>
      </c>
      <c r="AA481" s="2">
        <v>0</v>
      </c>
      <c r="AB481" s="2"/>
      <c r="AC481" s="2">
        <v>0</v>
      </c>
      <c r="AD481" s="2"/>
      <c r="AE481" s="2" t="s">
        <v>106</v>
      </c>
      <c r="AF481" s="2">
        <v>0</v>
      </c>
      <c r="AG481" s="2">
        <v>0</v>
      </c>
      <c r="AH481" s="2" t="s">
        <v>120</v>
      </c>
      <c r="AI481" s="2" t="s">
        <v>43</v>
      </c>
      <c r="AJ481" s="2">
        <v>0</v>
      </c>
      <c r="AK481" s="2">
        <v>27</v>
      </c>
      <c r="AL481" s="2"/>
      <c r="AM481" s="2">
        <v>0</v>
      </c>
      <c r="AN481" s="2">
        <v>0</v>
      </c>
      <c r="AO481" s="2"/>
      <c r="AP481" s="2"/>
      <c r="AQ481" s="2" t="s">
        <v>48</v>
      </c>
      <c r="AR481" s="58" t="s">
        <v>884</v>
      </c>
      <c r="AS481" s="56" t="s">
        <v>1116</v>
      </c>
      <c r="AT481" s="56" t="s">
        <v>1117</v>
      </c>
      <c r="AU481" s="5" t="s">
        <v>1144</v>
      </c>
      <c r="AV481" s="5" t="s">
        <v>869</v>
      </c>
      <c r="AW481" s="5">
        <v>4.4066870073000004</v>
      </c>
      <c r="AX481" s="5">
        <v>50.851975547400002</v>
      </c>
    </row>
  </sheetData>
  <mergeCells count="1">
    <mergeCell ref="R5:T5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Readme</vt:lpstr>
      <vt:lpstr>parking_data_1030_carto</vt:lpstr>
      <vt:lpstr>parking_data_1030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anne</dc:creator>
  <cp:lastModifiedBy>ihhilal</cp:lastModifiedBy>
  <dcterms:created xsi:type="dcterms:W3CDTF">2022-06-29T08:48:03Z</dcterms:created>
  <dcterms:modified xsi:type="dcterms:W3CDTF">2026-07-16T13:25:02Z</dcterms:modified>
</cp:coreProperties>
</file>